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88af039c9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e" sheetId="1" r:id="R827790e29d3c41b1"/>
    <x:sheet xmlns:r="http://schemas.openxmlformats.org/officeDocument/2006/relationships" name="Pedidos" sheetId="3" r:id="R57650c8667494b80"/>
    <x:sheet xmlns:r="http://schemas.openxmlformats.org/officeDocument/2006/relationships" name="Clientes" sheetId="4" r:id="R07ffe3f900464eff"/>
    <x:sheet xmlns:r="http://schemas.openxmlformats.org/officeDocument/2006/relationships" name="Produtos" sheetId="5" r:id="R9b472642768a40a2"/>
    <x:sheet xmlns:r="http://schemas.openxmlformats.org/officeDocument/2006/relationships" name="Estoque" sheetId="6" r:id="Rc2fcf7180eed4ca9"/>
    <x:sheet xmlns:r="http://schemas.openxmlformats.org/officeDocument/2006/relationships" name="BI_Pedidos" sheetId="8" r:id="R8bdec20f4d344eff"/>
    <x:sheet xmlns:r="http://schemas.openxmlformats.org/officeDocument/2006/relationships" name="BI_Estoque" sheetId="9" r:id="R392309f56dff484a"/>
  </x:sheets>
</x:workbook>
</file>

<file path=xl/sharedStrings.xml><?xml version="1.0" encoding="utf-8"?>
<x:sst xmlns:x="http://schemas.openxmlformats.org/spreadsheetml/2006/main">
  <x:si>
    <x:t xml:space="preserve">CONTROLE AUTOMATIZADO — GESTÃO ADMINISTRATIVA E LOGÍSTICA</x:t>
  </x:si>
  <x:si>
    <x:t xml:space="preserve">Atualização automática dos indicadores com base nas abas Pedidos e Estoque.</x:t>
  </x:si>
  <x:si>
    <x:t xml:space="preserve">Indicador</x:t>
  </x:si>
  <x:si>
    <x:t xml:space="preserve">Valor</x:t>
  </x:si>
  <x:si>
    <x:t xml:space="preserve">Total de pedidos</x:t>
  </x:si>
  <x:si>
    <x:t xml:space="preserve">Pedidos entregues</x:t>
  </x:si>
  <x:si>
    <x:t xml:space="preserve">Pedidos em transporte</x:t>
  </x:si>
  <x:si>
    <x:t xml:space="preserve">Pedidos em produção</x:t>
  </x:si>
  <x:si>
    <x:t xml:space="preserve">Pedidos pendentes</x:t>
  </x:si>
  <x:si>
    <x:t xml:space="preserve">Pedidos cancelados</x:t>
  </x:si>
  <x:si>
    <x:t xml:space="preserve">Pedidos atrasados</x:t>
  </x:si>
  <x:si>
    <x:t xml:space="preserve">Entregas no prazo</x:t>
  </x:si>
  <x:si>
    <x:t xml:space="preserve">Taxa de entrega no prazo</x:t>
  </x:si>
  <x:si>
    <x:t xml:space="preserve">Valor líquido total</x:t>
  </x:si>
  <x:si>
    <x:t xml:space="preserve">Frete total</x:t>
  </x:si>
  <x:si>
    <x:t xml:space="preserve">Custo total estimado</x:t>
  </x:si>
  <x:si>
    <x:t xml:space="preserve">Margem estimada</x:t>
  </x:si>
  <x:si>
    <x:t xml:space="preserve">Ticket médio</x:t>
  </x:si>
  <x:si>
    <x:t xml:space="preserve">Estoque abaixo do mínimo</x:t>
  </x:si>
  <x:si>
    <x:t xml:space="preserve">RESUMO POR STATUS</x:t>
  </x:si>
  <x:si>
    <x:t xml:space="preserve">RESUMO POR CATEGORIA</x:t>
  </x:si>
  <x:si>
    <x:t xml:space="preserve">Status</x:t>
  </x:si>
  <x:si>
    <x:t xml:space="preserve">Quantidade</x:t>
  </x:si>
  <x:si>
    <x:t xml:space="preserve">Percentual</x:t>
  </x:si>
  <x:si>
    <x:t xml:space="preserve">Categoria</x:t>
  </x:si>
  <x:si>
    <x:t xml:space="preserve">Pendente</x:t>
  </x:si>
  <x:si>
    <x:t xml:space="preserve">Em produção</x:t>
  </x:si>
  <x:si>
    <x:t xml:space="preserve">Em transporte</x:t>
  </x:si>
  <x:si>
    <x:t xml:space="preserve">Entregue</x:t>
  </x:si>
  <x:si>
    <x:t xml:space="preserve">Cancelado</x:t>
  </x:si>
  <x:si>
    <x:t xml:space="preserve">CONTROLES AUTOMATIZADOS APLICADOS</x:t>
  </x:si>
  <x:si>
    <x:t xml:space="preserve">• Fórmulas para prazo, atraso, custo total e margem na aba Pedidos.</x:t>
  </x:si>
  <x:si>
    <x:t xml:space="preserve">• Indicadores consolidados automaticamente nesta aba.</x:t>
  </x:si>
  <x:si>
    <x:t xml:space="preserve">• Validação de dados para o campo Status.</x:t>
  </x:si>
  <x:si>
    <x:t xml:space="preserve">• Formatação condicional para identificação visual dos prazos.</x:t>
  </x:si>
  <x:si>
    <x:t xml:space="preserve">• Resumos por status e categoria para apoiar a análise no Power BI.</x:t>
  </x:si>
  <x:si>
    <x:t xml:space="preserve">ID_Pedido</x:t>
  </x:si>
  <x:si>
    <x:t xml:space="preserve">Data_Pedido</x:t>
  </x:si>
  <x:si>
    <x:t xml:space="preserve">ID_Cliente</x:t>
  </x:si>
  <x:si>
    <x:t xml:space="preserve">Cliente</x:t>
  </x:si>
  <x:si>
    <x:t xml:space="preserve">Cidade</x:t>
  </x:si>
  <x:si>
    <x:t xml:space="preserve">ID_Produto</x:t>
  </x:si>
  <x:si>
    <x:t xml:space="preserve">Produto</x:t>
  </x:si>
  <x:si>
    <x:t xml:space="preserve">Preco_Unitario</x:t>
  </x:si>
  <x:si>
    <x:t xml:space="preserve">Desconto</x:t>
  </x:si>
  <x:si>
    <x:t xml:space="preserve">Valor_Bruto</x:t>
  </x:si>
  <x:si>
    <x:t xml:space="preserve">Valor_Liquido</x:t>
  </x:si>
  <x:si>
    <x:t xml:space="preserve">Data_Prevista</x:t>
  </x:si>
  <x:si>
    <x:t xml:space="preserve">Data_Entrega</x:t>
  </x:si>
  <x:si>
    <x:t xml:space="preserve">Custo_Estimado</x:t>
  </x:si>
  <x:si>
    <x:t xml:space="preserve">Frete</x:t>
  </x:si>
  <x:si>
    <x:t xml:space="preserve">Dias_Prazo</x:t>
  </x:si>
  <x:si>
    <x:t xml:space="preserve">Dias_Atraso</x:t>
  </x:si>
  <x:si>
    <x:t xml:space="preserve">Situacao_Prazo</x:t>
  </x:si>
  <x:si>
    <x:t xml:space="preserve">Custo_Total_Estimado</x:t>
  </x:si>
  <x:si>
    <x:t xml:space="preserve">Margem_Estimada</x:t>
  </x:si>
  <x:si>
    <x:t xml:space="preserve">PED0001</x:t>
  </x:si>
  <x:si>
    <x:t xml:space="preserve">C017</x:t>
  </x:si>
  <x:si>
    <x:t xml:space="preserve">Base Engenharia</x:t>
  </x:si>
  <x:si>
    <x:t xml:space="preserve">Tietê</x:t>
  </x:si>
  <x:si>
    <x:t xml:space="preserve">P020</x:t>
  </x:si>
  <x:si>
    <x:t xml:space="preserve">Bancada de Trabalho 180cm</x:t>
  </x:si>
  <x:si>
    <x:t xml:space="preserve">Mesas</x:t>
  </x:si>
  <x:si>
    <x:t xml:space="preserve">PED0002</x:t>
  </x:si>
  <x:si>
    <x:t xml:space="preserve">C026</x:t>
  </x:si>
  <x:si>
    <x:t xml:space="preserve">MobiTech</x:t>
  </x:si>
  <x:si>
    <x:t xml:space="preserve">P001</x:t>
  </x:si>
  <x:si>
    <x:t xml:space="preserve">Mesa de Escritório 120cm</x:t>
  </x:si>
  <x:si>
    <x:t xml:space="preserve">PED0003</x:t>
  </x:si>
  <x:si>
    <x:t xml:space="preserve">C003</x:t>
  </x:si>
  <x:si>
    <x:t xml:space="preserve">Gama Engenharia</x:t>
  </x:si>
  <x:si>
    <x:t xml:space="preserve">Iperó</x:t>
  </x:si>
  <x:si>
    <x:t xml:space="preserve">P013</x:t>
  </x:si>
  <x:si>
    <x:t xml:space="preserve">Longarina 3 Lugares</x:t>
  </x:si>
  <x:si>
    <x:t xml:space="preserve">Cadeiras</x:t>
  </x:si>
  <x:si>
    <x:t xml:space="preserve">PED0004</x:t>
  </x:si>
  <x:si>
    <x:t xml:space="preserve">P018</x:t>
  </x:si>
  <x:si>
    <x:t xml:space="preserve">Mesa em L 160cm</x:t>
  </x:si>
  <x:si>
    <x:t xml:space="preserve">PED0005</x:t>
  </x:si>
  <x:si>
    <x:t xml:space="preserve">C002</x:t>
  </x:si>
  <x:si>
    <x:t xml:space="preserve">Beta Tecnologia</x:t>
  </x:si>
  <x:si>
    <x:t xml:space="preserve">Tatuí</x:t>
  </x:si>
  <x:si>
    <x:t xml:space="preserve">P008</x:t>
  </x:si>
  <x:si>
    <x:t xml:space="preserve">Arquivo de Aço 4 Gavetas</x:t>
  </x:si>
  <x:si>
    <x:t xml:space="preserve">Arquivos</x:t>
  </x:si>
  <x:si>
    <x:t xml:space="preserve">PED0006</x:t>
  </x:si>
  <x:si>
    <x:t xml:space="preserve">C012</x:t>
  </x:si>
  <x:si>
    <x:t xml:space="preserve">Plena Contabilidade</x:t>
  </x:si>
  <x:si>
    <x:t xml:space="preserve">P006</x:t>
  </x:si>
  <x:si>
    <x:t xml:space="preserve">Armário Baixo 2 Portas</x:t>
  </x:si>
  <x:si>
    <x:t xml:space="preserve">Armários</x:t>
  </x:si>
  <x:si>
    <x:t xml:space="preserve">PED0007</x:t>
  </x:si>
  <x:si>
    <x:t xml:space="preserve">C018</x:t>
  </x:si>
  <x:si>
    <x:t xml:space="preserve">Ponto Norte Comércio</x:t>
  </x:si>
  <x:si>
    <x:t xml:space="preserve">Salto</x:t>
  </x:si>
  <x:si>
    <x:t xml:space="preserve">PED0008</x:t>
  </x:si>
  <x:si>
    <x:t xml:space="preserve">C027</x:t>
  </x:si>
  <x:si>
    <x:t xml:space="preserve">Conceito Arquitetura</x:t>
  </x:si>
  <x:si>
    <x:t xml:space="preserve">P002</x:t>
  </x:si>
  <x:si>
    <x:t xml:space="preserve">Mesa de Reunião 180cm</x:t>
  </x:si>
  <x:si>
    <x:t xml:space="preserve">PED0009</x:t>
  </x:si>
  <x:si>
    <x:t xml:space="preserve">C023</x:t>
  </x:si>
  <x:si>
    <x:t xml:space="preserve">Nexo Tecnologia</x:t>
  </x:si>
  <x:si>
    <x:t xml:space="preserve">Sorocaba</x:t>
  </x:si>
  <x:si>
    <x:t xml:space="preserve">P011</x:t>
  </x:si>
  <x:si>
    <x:t xml:space="preserve">Cadeira Operacional</x:t>
  </x:si>
  <x:si>
    <x:t xml:space="preserve">PED0010</x:t>
  </x:si>
  <x:si>
    <x:t xml:space="preserve">C024</x:t>
  </x:si>
  <x:si>
    <x:t xml:space="preserve">Ação Empresarial</x:t>
  </x:si>
  <x:si>
    <x:t xml:space="preserve">Itu</x:t>
  </x:si>
  <x:si>
    <x:t xml:space="preserve">PED0011</x:t>
  </x:si>
  <x:si>
    <x:t xml:space="preserve">P016</x:t>
  </x:si>
  <x:si>
    <x:t xml:space="preserve">Painel Divisório 160cm</x:t>
  </x:si>
  <x:si>
    <x:t xml:space="preserve">Divisórias</x:t>
  </x:si>
  <x:si>
    <x:t xml:space="preserve">PED0012</x:t>
  </x:si>
  <x:si>
    <x:t xml:space="preserve">C013</x:t>
  </x:si>
  <x:si>
    <x:t xml:space="preserve">Matriz Administradora</x:t>
  </x:si>
  <x:si>
    <x:t xml:space="preserve">Porto Feliz</x:t>
  </x:si>
  <x:si>
    <x:t xml:space="preserve">PED0013</x:t>
  </x:si>
  <x:si>
    <x:t xml:space="preserve">C004</x:t>
  </x:si>
  <x:si>
    <x:t xml:space="preserve">Delta Consultoria</x:t>
  </x:si>
  <x:si>
    <x:t xml:space="preserve">PED0014</x:t>
  </x:si>
  <x:si>
    <x:t xml:space="preserve">C029</x:t>
  </x:si>
  <x:si>
    <x:t xml:space="preserve">Prisma Serviços</x:t>
  </x:si>
  <x:si>
    <x:t xml:space="preserve">P009</x:t>
  </x:si>
  <x:si>
    <x:t xml:space="preserve">Estante Corporativa 6 Prateleiras</x:t>
  </x:si>
  <x:si>
    <x:t xml:space="preserve">Estantes</x:t>
  </x:si>
  <x:si>
    <x:t xml:space="preserve">PED0015</x:t>
  </x:si>
  <x:si>
    <x:t xml:space="preserve">C007</x:t>
  </x:si>
  <x:si>
    <x:t xml:space="preserve">Prime Office</x:t>
  </x:si>
  <x:si>
    <x:t xml:space="preserve">Cerquilho</x:t>
  </x:si>
  <x:si>
    <x:t xml:space="preserve">P005</x:t>
  </x:si>
  <x:si>
    <x:t xml:space="preserve">Armário Alto 2 Portas</x:t>
  </x:si>
  <x:si>
    <x:t xml:space="preserve">PED0016</x:t>
  </x:si>
  <x:si>
    <x:t xml:space="preserve">C011</x:t>
  </x:si>
  <x:si>
    <x:t xml:space="preserve">Evolutiva RH</x:t>
  </x:si>
  <x:si>
    <x:t xml:space="preserve">PED0017</x:t>
  </x:si>
  <x:si>
    <x:t xml:space="preserve">C008</x:t>
  </x:si>
  <x:si>
    <x:t xml:space="preserve">Integra Sistemas</x:t>
  </x:si>
  <x:si>
    <x:t xml:space="preserve">P019</x:t>
  </x:si>
  <x:si>
    <x:t xml:space="preserve">Armário de Pasta Suspensa</x:t>
  </x:si>
  <x:si>
    <x:t xml:space="preserve">PED0018</x:t>
  </x:si>
  <x:si>
    <x:t xml:space="preserve">C005</x:t>
  </x:si>
  <x:si>
    <x:t xml:space="preserve">Horizonte Arquitetura</x:t>
  </x:si>
  <x:si>
    <x:t xml:space="preserve">PED0019</x:t>
  </x:si>
  <x:si>
    <x:t xml:space="preserve">C025</x:t>
  </x:si>
  <x:si>
    <x:t xml:space="preserve">Futura Administração</x:t>
  </x:si>
  <x:si>
    <x:t xml:space="preserve">P007</x:t>
  </x:si>
  <x:si>
    <x:t xml:space="preserve">Gaveteiro Volante 3 Gavetas</x:t>
  </x:si>
  <x:si>
    <x:t xml:space="preserve">Gaveteiros</x:t>
  </x:si>
  <x:si>
    <x:t xml:space="preserve">PED0020</x:t>
  </x:si>
  <x:si>
    <x:t xml:space="preserve">P003</x:t>
  </x:si>
  <x:si>
    <x:t xml:space="preserve">Mesa de Reunião 240cm</x:t>
  </x:si>
  <x:si>
    <x:t xml:space="preserve">PED0021</x:t>
  </x:si>
  <x:si>
    <x:t xml:space="preserve">PED0022</x:t>
  </x:si>
  <x:si>
    <x:t xml:space="preserve">PED0023</x:t>
  </x:si>
  <x:si>
    <x:t xml:space="preserve">P014</x:t>
  </x:si>
  <x:si>
    <x:t xml:space="preserve">Poltrona de Espera</x:t>
  </x:si>
  <x:si>
    <x:t xml:space="preserve">PED0024</x:t>
  </x:si>
  <x:si>
    <x:t xml:space="preserve">P004</x:t>
  </x:si>
  <x:si>
    <x:t xml:space="preserve">Escrivaninha Compacta</x:t>
  </x:si>
  <x:si>
    <x:t xml:space="preserve">PED0025</x:t>
  </x:si>
  <x:si>
    <x:t xml:space="preserve">C028</x:t>
  </x:si>
  <x:si>
    <x:t xml:space="preserve">Planalto Engenharia</x:t>
  </x:si>
  <x:si>
    <x:t xml:space="preserve">Boituva</x:t>
  </x:si>
  <x:si>
    <x:t xml:space="preserve">PED0026</x:t>
  </x:si>
  <x:si>
    <x:t xml:space="preserve">PED0027</x:t>
  </x:si>
  <x:si>
    <x:t xml:space="preserve">PED0028</x:t>
  </x:si>
  <x:si>
    <x:t xml:space="preserve">C010</x:t>
  </x:si>
  <x:si>
    <x:t xml:space="preserve">Conecta Serviços</x:t>
  </x:si>
  <x:si>
    <x:t xml:space="preserve">PED0029</x:t>
  </x:si>
  <x:si>
    <x:t xml:space="preserve">C030</x:t>
  </x:si>
  <x:si>
    <x:t xml:space="preserve">Eixo Corporativo</x:t>
  </x:si>
  <x:si>
    <x:t xml:space="preserve">P017</x:t>
  </x:si>
  <x:si>
    <x:t xml:space="preserve">Gaveteiro Fixo 2 Gavetas</x:t>
  </x:si>
  <x:si>
    <x:t xml:space="preserve">PED0030</x:t>
  </x:si>
  <x:si>
    <x:t xml:space="preserve">PED0031</x:t>
  </x:si>
  <x:si>
    <x:t xml:space="preserve">C019</x:t>
  </x:si>
  <x:si>
    <x:t xml:space="preserve">Líder Consultoria</x:t>
  </x:si>
  <x:si>
    <x:t xml:space="preserve">PED0032</x:t>
  </x:si>
  <x:si>
    <x:t xml:space="preserve">C021</x:t>
  </x:si>
  <x:si>
    <x:t xml:space="preserve">Progresso Industrial</x:t>
  </x:si>
  <x:si>
    <x:t xml:space="preserve">P010</x:t>
  </x:si>
  <x:si>
    <x:t xml:space="preserve">Balcão de Atendimento</x:t>
  </x:si>
  <x:si>
    <x:t xml:space="preserve">Balcões</x:t>
  </x:si>
  <x:si>
    <x:t xml:space="preserve">PED0033</x:t>
  </x:si>
  <x:si>
    <x:t xml:space="preserve">PED0034</x:t>
  </x:si>
  <x:si>
    <x:t xml:space="preserve">C015</x:t>
  </x:si>
  <x:si>
    <x:t xml:space="preserve">Grupo Vale</x:t>
  </x:si>
  <x:si>
    <x:t xml:space="preserve">PED0035</x:t>
  </x:si>
  <x:si>
    <x:t xml:space="preserve">PED0036</x:t>
  </x:si>
  <x:si>
    <x:t xml:space="preserve">PED0037</x:t>
  </x:si>
  <x:si>
    <x:t xml:space="preserve">PED0038</x:t>
  </x:si>
  <x:si>
    <x:t xml:space="preserve">C014</x:t>
  </x:si>
  <x:si>
    <x:t xml:space="preserve">Soluções Alpha</x:t>
  </x:si>
  <x:si>
    <x:t xml:space="preserve">PED0039</x:t>
  </x:si>
  <x:si>
    <x:t xml:space="preserve">P012</x:t>
  </x:si>
  <x:si>
    <x:t xml:space="preserve">Cadeira Presidente</x:t>
  </x:si>
  <x:si>
    <x:t xml:space="preserve">PED0040</x:t>
  </x:si>
  <x:si>
    <x:t xml:space="preserve">PED0041</x:t>
  </x:si>
  <x:si>
    <x:t xml:space="preserve">C020</x:t>
  </x:si>
  <x:si>
    <x:t xml:space="preserve">Central Office</x:t>
  </x:si>
  <x:si>
    <x:t xml:space="preserve">PED0042</x:t>
  </x:si>
  <x:si>
    <x:t xml:space="preserve">PED0043</x:t>
  </x:si>
  <x:si>
    <x:t xml:space="preserve">PED0044</x:t>
  </x:si>
  <x:si>
    <x:t xml:space="preserve">PED0045</x:t>
  </x:si>
  <x:si>
    <x:t xml:space="preserve">C022</x:t>
  </x:si>
  <x:si>
    <x:t xml:space="preserve">Via Sul Serviços</x:t>
  </x:si>
  <x:si>
    <x:t xml:space="preserve">PED0046</x:t>
  </x:si>
  <x:si>
    <x:t xml:space="preserve">PED0047</x:t>
  </x:si>
  <x:si>
    <x:t xml:space="preserve">C009</x:t>
  </x:si>
  <x:si>
    <x:t xml:space="preserve">Vértice Engenharia</x:t>
  </x:si>
  <x:si>
    <x:t xml:space="preserve">PED0048</x:t>
  </x:si>
  <x:si>
    <x:t xml:space="preserve">PED0049</x:t>
  </x:si>
  <x:si>
    <x:t xml:space="preserve">PED0050</x:t>
  </x:si>
  <x:si>
    <x:t xml:space="preserve">PED0051</x:t>
  </x:si>
  <x:si>
    <x:t xml:space="preserve">PED0052</x:t>
  </x:si>
  <x:si>
    <x:t xml:space="preserve">C016</x:t>
  </x:si>
  <x:si>
    <x:t xml:space="preserve">Rota Corporativa</x:t>
  </x:si>
  <x:si>
    <x:t xml:space="preserve">PED0053</x:t>
  </x:si>
  <x:si>
    <x:t xml:space="preserve">PED0054</x:t>
  </x:si>
  <x:si>
    <x:t xml:space="preserve">P015</x:t>
  </x:si>
  <x:si>
    <x:t xml:space="preserve">Painel Divisório 120cm</x:t>
  </x:si>
  <x:si>
    <x:t xml:space="preserve">PED0055</x:t>
  </x:si>
  <x:si>
    <x:t xml:space="preserve">PED0056</x:t>
  </x:si>
  <x:si>
    <x:t xml:space="preserve">PED0057</x:t>
  </x:si>
  <x:si>
    <x:t xml:space="preserve">PED0058</x:t>
  </x:si>
  <x:si>
    <x:t xml:space="preserve">PED0059</x:t>
  </x:si>
  <x:si>
    <x:t xml:space="preserve">PED0060</x:t>
  </x:si>
  <x:si>
    <x:t xml:space="preserve">PED0061</x:t>
  </x:si>
  <x:si>
    <x:t xml:space="preserve">PED0062</x:t>
  </x:si>
  <x:si>
    <x:t xml:space="preserve">PED0063</x:t>
  </x:si>
  <x:si>
    <x:t xml:space="preserve">PED0064</x:t>
  </x:si>
  <x:si>
    <x:t xml:space="preserve">PED0065</x:t>
  </x:si>
  <x:si>
    <x:t xml:space="preserve">PED0066</x:t>
  </x:si>
  <x:si>
    <x:t xml:space="preserve">PED0067</x:t>
  </x:si>
  <x:si>
    <x:t xml:space="preserve">PED0068</x:t>
  </x:si>
  <x:si>
    <x:t xml:space="preserve">PED0069</x:t>
  </x:si>
  <x:si>
    <x:t xml:space="preserve">PED0070</x:t>
  </x:si>
  <x:si>
    <x:t xml:space="preserve">PED0071</x:t>
  </x:si>
  <x:si>
    <x:t xml:space="preserve">PED0072</x:t>
  </x:si>
  <x:si>
    <x:t xml:space="preserve">PED0073</x:t>
  </x:si>
  <x:si>
    <x:t xml:space="preserve">PED0074</x:t>
  </x:si>
  <x:si>
    <x:t xml:space="preserve">PED0075</x:t>
  </x:si>
  <x:si>
    <x:t xml:space="preserve">PED0076</x:t>
  </x:si>
  <x:si>
    <x:t xml:space="preserve">PED0077</x:t>
  </x:si>
  <x:si>
    <x:t xml:space="preserve">PED0078</x:t>
  </x:si>
  <x:si>
    <x:t xml:space="preserve">PED0079</x:t>
  </x:si>
  <x:si>
    <x:t xml:space="preserve">PED0080</x:t>
  </x:si>
  <x:si>
    <x:t xml:space="preserve">PED0081</x:t>
  </x:si>
  <x:si>
    <x:t xml:space="preserve">PED0082</x:t>
  </x:si>
  <x:si>
    <x:t xml:space="preserve">PED0083</x:t>
  </x:si>
  <x:si>
    <x:t xml:space="preserve">PED0084</x:t>
  </x:si>
  <x:si>
    <x:t xml:space="preserve">PED0085</x:t>
  </x:si>
  <x:si>
    <x:t xml:space="preserve">PED0086</x:t>
  </x:si>
  <x:si>
    <x:t xml:space="preserve">PED0087</x:t>
  </x:si>
  <x:si>
    <x:t xml:space="preserve">PED0088</x:t>
  </x:si>
  <x:si>
    <x:t xml:space="preserve">PED0089</x:t>
  </x:si>
  <x:si>
    <x:t xml:space="preserve">PED0090</x:t>
  </x:si>
  <x:si>
    <x:t xml:space="preserve">PED0091</x:t>
  </x:si>
  <x:si>
    <x:t xml:space="preserve">PED0092</x:t>
  </x:si>
  <x:si>
    <x:t xml:space="preserve">PED0093</x:t>
  </x:si>
  <x:si>
    <x:t xml:space="preserve">PED0094</x:t>
  </x:si>
  <x:si>
    <x:t xml:space="preserve">PED0095</x:t>
  </x:si>
  <x:si>
    <x:t xml:space="preserve">PED0096</x:t>
  </x:si>
  <x:si>
    <x:t xml:space="preserve">PED0097</x:t>
  </x:si>
  <x:si>
    <x:t xml:space="preserve">PED0098</x:t>
  </x:si>
  <x:si>
    <x:t xml:space="preserve">PED0099</x:t>
  </x:si>
  <x:si>
    <x:t xml:space="preserve">PED0100</x:t>
  </x:si>
  <x:si>
    <x:t xml:space="preserve">PED0101</x:t>
  </x:si>
  <x:si>
    <x:t xml:space="preserve">PED0102</x:t>
  </x:si>
  <x:si>
    <x:t xml:space="preserve">PED0103</x:t>
  </x:si>
  <x:si>
    <x:t xml:space="preserve">PED0104</x:t>
  </x:si>
  <x:si>
    <x:t xml:space="preserve">PED0105</x:t>
  </x:si>
  <x:si>
    <x:t xml:space="preserve">PED0106</x:t>
  </x:si>
  <x:si>
    <x:t xml:space="preserve">PED0107</x:t>
  </x:si>
  <x:si>
    <x:t xml:space="preserve">PED0108</x:t>
  </x:si>
  <x:si>
    <x:t xml:space="preserve">PED0109</x:t>
  </x:si>
  <x:si>
    <x:t xml:space="preserve">PED0110</x:t>
  </x:si>
  <x:si>
    <x:t xml:space="preserve">PED0111</x:t>
  </x:si>
  <x:si>
    <x:t xml:space="preserve">PED0112</x:t>
  </x:si>
  <x:si>
    <x:t xml:space="preserve">PED0113</x:t>
  </x:si>
  <x:si>
    <x:t xml:space="preserve">PED0114</x:t>
  </x:si>
  <x:si>
    <x:t xml:space="preserve">PED0115</x:t>
  </x:si>
  <x:si>
    <x:t xml:space="preserve">PED0116</x:t>
  </x:si>
  <x:si>
    <x:t xml:space="preserve">PED0117</x:t>
  </x:si>
  <x:si>
    <x:t xml:space="preserve">PED0118</x:t>
  </x:si>
  <x:si>
    <x:t xml:space="preserve">PED0119</x:t>
  </x:si>
  <x:si>
    <x:t xml:space="preserve">PED0120</x:t>
  </x:si>
  <x:si>
    <x:t xml:space="preserve">UF</x:t>
  </x:si>
  <x:si>
    <x:t xml:space="preserve">Regiao</x:t>
  </x:si>
  <x:si>
    <x:t xml:space="preserve">C001</x:t>
  </x:si>
  <x:si>
    <x:t xml:space="preserve">Alfa Contabilidade</x:t>
  </x:si>
  <x:si>
    <x:t xml:space="preserve">SP</x:t>
  </x:si>
  <x:si>
    <x:t xml:space="preserve">Centro</x:t>
  </x:si>
  <x:si>
    <x:t xml:space="preserve">Centro-Sul</x:t>
  </x:si>
  <x:si>
    <x:t xml:space="preserve">C006</x:t>
  </x:si>
  <x:si>
    <x:t xml:space="preserve">Nova Gestão Empresarial</x:t>
  </x:si>
  <x:si>
    <x:t xml:space="preserve">Subcategoria</x:t>
  </x:si>
  <x:si>
    <x:t xml:space="preserve">Preco_Padrao</x:t>
  </x:si>
  <x:si>
    <x:t xml:space="preserve">Estoque_Minimo</x:t>
  </x:si>
  <x:si>
    <x:t xml:space="preserve">Móveis Corporativos</x:t>
  </x:si>
  <x:si>
    <x:t xml:space="preserve">Organização</x:t>
  </x:si>
  <x:si>
    <x:t xml:space="preserve">Assentos</x:t>
  </x:si>
  <x:si>
    <x:t xml:space="preserve">Estoque_Atual</x:t>
  </x:si>
  <x:si>
    <x:t xml:space="preserve">Situacao_Estoque</x:t>
  </x:si>
</x:sst>
</file>

<file path=xl/styles.xml><?xml version="1.0" encoding="utf-8"?>
<x:styleSheet xmlns:x="http://schemas.openxmlformats.org/spreadsheetml/2006/main">
  <x:numFmts count="6">
    <x:numFmt numFmtId="164" formatCode="\R\$\ #,##0.00"/>
    <x:numFmt numFmtId="165" formatCode="0.0%"/>
    <x:numFmt numFmtId="200" formatCode="dd/mm/yyyy"/>
    <x:numFmt numFmtId="201" formatCode="0"/>
    <x:numFmt numFmtId="202" formatCode="R$ #,##0.00"/>
    <x:numFmt numFmtId="203" formatCode="0%"/>
  </x:numFmts>
  <x:fonts count="6">
    <x:font>
      <x:sz val="11"/>
      <x:color theme="1"/>
      <x:name val="Calibri"/>
    </x:font>
    <x:font>
      <x:b/>
      <x:sz val="11"/>
      <x:color rgb="FFFFFFFF"/>
      <x:name val="Calibri"/>
    </x:font>
    <x:font>
      <x:b/>
      <x:sz val="14"/>
      <x:color rgb="FFFFFFFF"/>
      <x:name val="Calibri"/>
    </x:font>
    <x:font>
      <x:b/>
      <x:sz val="11"/>
      <x:name val="Calibri"/>
    </x:font>
    <x:font>
      <x:sz val="11"/>
      <x:name val="Calibri"/>
    </x:font>
    <x:font>
      <x:i/>
      <x:sz val="11"/>
      <x:color rgb="FF666666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FFFF00"/>
      </x:patternFill>
    </x:fill>
  </x:fills>
  <x:borders count="6">
    <x:border/>
    <x:border>
      <x:bottom style="thin">
        <x:color rgb="FFD9E1F2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9" fontId="0" fillId="0" borderId="0" xfId="0" applyNumberFormat="1"/>
    <x:xf numFmtId="14" fontId="0" fillId="0" borderId="0" xfId="0" applyNumberFormat="1"/>
    <x:xf numFmtId="164" fontId="0" fillId="0" borderId="0" xfId="0" applyNumberFormat="1"/>
    <x:xf numFmtId="0" fontId="3" fillId="3" borderId="0" xfId="0" applyFont="1" applyFill="1"/>
    <x:xf numFmtId="0" fontId="3" fillId="3" borderId="1" xfId="0" applyFont="1" applyFill="1" applyBorder="1" applyAlignment="1">
      <x:alignment horizontal="center" vertical="center"/>
    </x:xf>
    <x:xf numFmtId="164" fontId="4" fillId="0" borderId="2" xfId="0" applyNumberFormat="1" applyFont="1" applyBorder="1"/>
    <x:xf numFmtId="0" fontId="1" fillId="2" borderId="1" xfId="0" applyFont="1" applyFill="1" applyBorder="1" applyAlignment="1">
      <x:alignment horizontal="center"/>
    </x:xf>
    <x:xf numFmtId="10" fontId="0" fillId="0" borderId="0" xfId="0" applyNumberFormat="1"/>
    <x:xf numFmtId="0" fontId="1" fillId="4" borderId="0" xfId="0" applyFont="1" applyFill="1"/>
    <x:xf numFmtId="0" fontId="4" fillId="0" borderId="2" xfId="0" applyFont="1" applyBorder="1"/>
    <x:xf numFmtId="0" fontId="0" fillId="0" borderId="0" xfId="0"/>
    <x:xf numFmtId="0" fontId="1" fillId="2" borderId="2" xfId="0" applyFont="1" applyFill="1" applyBorder="1" applyAlignment="1">
      <x:alignment horizontal="center" vertical="center"/>
    </x:xf>
    <x:xf numFmtId="164" fontId="1" fillId="2" borderId="2" xfId="0" applyNumberFormat="1" applyFont="1" applyFill="1" applyBorder="1" applyAlignment="1">
      <x:alignment horizontal="center" vertical="center"/>
    </x:xf>
    <x:xf numFmtId="0" fontId="4" fillId="0" borderId="3" xfId="0" applyFont="1" applyBorder="1"/>
    <x:xf numFmtId="164" fontId="4" fillId="0" borderId="3" xfId="0" applyNumberFormat="1" applyFont="1" applyBorder="1"/>
    <x:xf numFmtId="165" fontId="4" fillId="0" borderId="3" xfId="0" applyNumberFormat="1" applyFont="1" applyBorder="1"/>
    <x:xf numFmtId="0" fontId="0" fillId="0" borderId="2" xfId="0" applyBorder="1"/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/>
    <x:xf numFmtId="0" fontId="4" fillId="0" borderId="5" xfId="0" applyFont="1" applyBorder="1"/>
    <x:xf numFmtId="0" fontId="3" fillId="3" borderId="3" xfId="0" applyFont="1" applyFill="1" applyBorder="1" applyAlignment="1">
      <x:alignment horizontal="center"/>
    </x:xf>
    <x:xf numFmtId="164" fontId="3" fillId="3" borderId="3" xfId="0" applyNumberFormat="1" applyFont="1" applyFill="1" applyBorder="1" applyAlignment="1">
      <x:alignment horizontal="center"/>
    </x:xf>
    <x:xf numFmtId="165" fontId="3" fillId="3" borderId="3" xfId="0" applyNumberFormat="1" applyFont="1" applyFill="1" applyBorder="1" applyAlignment="1">
      <x:alignment horizontal="center"/>
    </x:xf>
    <x:xf numFmtId="14" fontId="0" fillId="5" borderId="0" xfId="0" applyNumberFormat="1" applyFill="1"/>
    <x:xf numFmtId="0" fontId="4" fillId="0" borderId="3" xfId="0" applyFont="1" applyBorder="1" applyAlignment="1"/>
    <x:xf numFmtId="0" fontId="0" fillId="0" borderId="3" xfId="0" applyBorder="1" applyAlignment="1"/>
    <x:xf numFmtId="0" fontId="5" fillId="0" borderId="3" xfId="0" applyFont="1" applyBorder="1" applyAlignment="1">
      <x:alignment horizontal="center"/>
    </x:xf>
    <x:xf numFmtId="0" fontId="0" fillId="0" borderId="3" xfId="0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0" fillId="0" borderId="2" xfId="0" applyBorder="1" applyAlignment="1"/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dxfs count="6"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e921278184a95" /><Relationship Type="http://schemas.openxmlformats.org/officeDocument/2006/relationships/theme" Target="/xl/theme/theme1.xml" Id="R4cffa2c57fc64560" /><Relationship Type="http://schemas.openxmlformats.org/officeDocument/2006/relationships/sharedStrings" Target="/xl/sharedStrings.xml" Id="R4af911a736f44d1d" /><Relationship Type="http://schemas.openxmlformats.org/officeDocument/2006/relationships/worksheet" Target="/xl/worksheets/sheet1.xml" Id="R827790e29d3c41b1" /><Relationship Type="http://schemas.openxmlformats.org/officeDocument/2006/relationships/worksheet" Target="/xl/worksheets/sheet2.xml" Id="R57650c8667494b80" /><Relationship Type="http://schemas.openxmlformats.org/officeDocument/2006/relationships/worksheet" Target="/xl/worksheets/sheet3.xml" Id="R07ffe3f900464eff" /><Relationship Type="http://schemas.openxmlformats.org/officeDocument/2006/relationships/worksheet" Target="/xl/worksheets/sheet4.xml" Id="R9b472642768a40a2" /><Relationship Type="http://schemas.openxmlformats.org/officeDocument/2006/relationships/worksheet" Target="/xl/worksheets/sheet5.xml" Id="Rc2fcf7180eed4ca9" /><Relationship Type="http://schemas.openxmlformats.org/officeDocument/2006/relationships/worksheet" Target="/xl/worksheets/sheet6.xml" Id="R8bdec20f4d344eff" /><Relationship Type="http://schemas.openxmlformats.org/officeDocument/2006/relationships/worksheet" Target="/xl/worksheets/sheet7.xml" Id="R392309f56dff484a" /></Relationships>
</file>

<file path=xl/tables/table1.xml><?xml version="1.0" encoding="utf-8"?>
<x:table xmlns:x="http://schemas.openxmlformats.org/spreadsheetml/2006/main" id="6" name="tblBI_Estoque" displayName="tblBI_Estoque" ref="A1:F21">
  <x:autoFilter ref="A1:F21"/>
  <x:tableColumns count="6">
    <x:tableColumn id="1" name="ID_Produto"/>
    <x:tableColumn id="2" name="Produto"/>
    <x:tableColumn id="3" name="Categoria"/>
    <x:tableColumn id="4" name="Estoque_Atual"/>
    <x:tableColumn id="5" name="Estoque_Minimo"/>
    <x:tableColumn id="6" name="Situacao_Estoqu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e5a93320c60948e3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28" customWidth="1"/>
    <x:col min="2" max="2" width="18" customWidth="1"/>
    <x:col min="3" max="3" width="28" customWidth="1"/>
    <x:col min="4" max="4" width="18" customWidth="1"/>
    <x:col min="5" max="5" width="28" customWidth="1"/>
    <x:col min="6" max="6" width="18" customWidth="1"/>
  </x:cols>
  <x:sheetData>
    <x:row r="1" ht="18.75">
      <x:c r="A1" s="32" t="s">
        <x:v>0</x:v>
      </x:c>
      <x:c r="B1" s="33"/>
      <x:c r="C1" s="33"/>
      <x:c r="D1" s="33"/>
      <x:c r="E1" s="33"/>
      <x:c r="F1" s="33"/>
      <x:c r="G1" s="12"/>
    </x:row>
    <x:row r="2">
      <x:c r="A2" s="28" t="s">
        <x:v>1</x:v>
      </x:c>
      <x:c r="B2" s="29"/>
      <x:c r="C2" s="29"/>
      <x:c r="D2" s="29"/>
      <x:c r="E2" s="29"/>
      <x:c r="F2" s="29"/>
      <x:c r="G2" s="18"/>
    </x:row>
    <x:row r="3">
      <x:c r="A3" s="11"/>
      <x:c r="B3" s="11"/>
      <x:c r="C3" s="11"/>
      <x:c r="D3" s="11"/>
      <x:c r="E3" s="11"/>
      <x:c r="F3" s="11"/>
      <x:c r="G3" s="12"/>
    </x:row>
    <x:row r="4">
      <x:c r="A4" s="13" t="s">
        <x:v>2</x:v>
      </x:c>
      <x:c r="B4" s="19" t="s">
        <x:v>3</x:v>
      </x:c>
      <x:c r="C4" s="13" t="s">
        <x:v>2</x:v>
      </x:c>
      <x:c r="D4" s="19" t="s">
        <x:v>3</x:v>
      </x:c>
      <x:c r="E4" s="13" t="s">
        <x:v>2</x:v>
      </x:c>
      <x:c r="F4" s="19" t="s">
        <x:v>3</x:v>
      </x:c>
      <x:c r="G4" s="18"/>
    </x:row>
    <x:row r="5">
      <x:c r="A5" s="20" t="s">
        <x:v>4</x:v>
      </x:c>
      <x:c r="B5" s="22" t="n">
        <x:f>COUNTA(Pedidos!$A$2:$A$121)</x:f>
        <x:v>120</x:v>
      </x:c>
      <x:c r="C5" s="21" t="s">
        <x:v>5</x:v>
      </x:c>
      <x:c r="D5" s="22" t="n">
        <x:f>COUNTIF(Pedidos!$P$2:$P$121,"Entregue")</x:f>
        <x:v>87</x:v>
      </x:c>
      <x:c r="E5" s="21" t="s">
        <x:v>6</x:v>
      </x:c>
      <x:c r="F5" s="22" t="n">
        <x:f>COUNTIF(Pedidos!$P$2:$P$121,"Em transporte")</x:f>
        <x:v>24</x:v>
      </x:c>
      <x:c r="G5" s="18"/>
    </x:row>
    <x:row r="6">
      <x:c r="A6" s="20" t="s">
        <x:v>7</x:v>
      </x:c>
      <x:c r="B6" s="22" t="n">
        <x:f>COUNTIF(Pedidos!$P$2:$P$121,"Em produção")</x:f>
        <x:v>0</x:v>
      </x:c>
      <x:c r="C6" s="21" t="s">
        <x:v>8</x:v>
      </x:c>
      <x:c r="D6" s="22" t="n">
        <x:f>COUNTIF(Pedidos!$P$2:$P$121,"Pendente")</x:f>
        <x:v>2</x:v>
      </x:c>
      <x:c r="E6" s="21" t="s">
        <x:v>9</x:v>
      </x:c>
      <x:c r="F6" s="22" t="n">
        <x:f>COUNTIF(Pedidos!$P$2:$P$121,"Cancelado")</x:f>
        <x:v>7</x:v>
      </x:c>
      <x:c r="G6" s="18"/>
    </x:row>
    <x:row r="7">
      <x:c r="A7" s="20" t="s">
        <x:v>10</x:v>
      </x:c>
      <x:c r="B7" s="22" t="n">
        <x:f ca="1">COUNTIF(Pedidos!$U$2:$U$121,"Atrasado")+COUNTIF(Pedidos!$U$2:$U$121,"Entregue com atraso")</x:f>
        <x:v>75</x:v>
      </x:c>
      <x:c r="C7" s="21" t="s">
        <x:v>11</x:v>
      </x:c>
      <x:c r="D7" s="22" t="n">
        <x:f ca="1">COUNTIF(Pedidos!$U$2:$U$121,"Entregue no prazo")</x:f>
        <x:v>38</x:v>
      </x:c>
      <x:c r="E7" s="21" t="s">
        <x:v>12</x:v>
      </x:c>
      <x:c r="F7" s="24" t="n">
        <x:f ca="1">IFERROR(D7/D5,0)</x:f>
        <x:v>0.4367816091954023</x:v>
      </x:c>
      <x:c r="G7" s="18"/>
    </x:row>
    <x:row r="8">
      <x:c r="A8" s="20" t="s">
        <x:v>13</x:v>
      </x:c>
      <x:c r="B8" s="23" t="n">
        <x:f>SUM(Pedidos!$M$2:$M$121)</x:f>
        <x:v>361319.01999999996</x:v>
      </x:c>
      <x:c r="C8" s="21" t="s">
        <x:v>14</x:v>
      </x:c>
      <x:c r="D8" s="23" t="n">
        <x:f>SUM(Pedidos!$R$2:$R$121)</x:f>
        <x:v>18618.95</x:v>
      </x:c>
      <x:c r="E8" s="21" t="s">
        <x:v>15</x:v>
      </x:c>
      <x:c r="F8" s="23" t="n">
        <x:f>SUM(Pedidos!$V$2:$V$121)</x:f>
        <x:v>273483.7200000001</x:v>
      </x:c>
      <x:c r="G8" s="18"/>
    </x:row>
    <x:row r="9">
      <x:c r="A9" s="20" t="s">
        <x:v>16</x:v>
      </x:c>
      <x:c r="B9" s="23" t="n">
        <x:f>SUM(Pedidos!$W$2:$W$121)</x:f>
        <x:v>87835.29999999997</x:v>
      </x:c>
      <x:c r="C9" s="21" t="s">
        <x:v>17</x:v>
      </x:c>
      <x:c r="D9" s="23" t="n">
        <x:f>IFERROR(B8/B5,0)</x:f>
        <x:v>3010.991833333333</x:v>
      </x:c>
      <x:c r="E9" s="21" t="s">
        <x:v>18</x:v>
      </x:c>
      <x:c r="F9" s="22" t="n">
        <x:f>COUNTIF(Estoque!$F$2:$F$21,"Abaixo do mínimo")</x:f>
        <x:v>0</x:v>
      </x:c>
      <x:c r="G9" s="18"/>
    </x:row>
    <x:row r="10">
      <x:c r="A10" s="11"/>
      <x:c r="B10" s="11"/>
      <x:c r="C10" s="11"/>
      <x:c r="D10" s="11"/>
      <x:c r="E10" s="11"/>
      <x:c r="F10" s="11"/>
      <x:c r="G10" s="12"/>
    </x:row>
    <x:row r="11">
      <x:c r="A11" s="11"/>
      <x:c r="B11" s="7"/>
      <x:c r="C11" s="11"/>
      <x:c r="D11" s="11"/>
      <x:c r="E11" s="11"/>
      <x:c r="F11" s="11"/>
      <x:c r="G11" s="12"/>
    </x:row>
    <x:row r="12">
      <x:c r="A12" s="30" t="s">
        <x:v>19</x:v>
      </x:c>
      <x:c r="B12" s="31"/>
      <x:c r="C12" s="31"/>
      <x:c r="D12" s="11"/>
      <x:c r="E12" s="30" t="s">
        <x:v>20</x:v>
      </x:c>
      <x:c r="F12" s="31"/>
      <x:c r="G12" s="12"/>
    </x:row>
    <x:row r="13">
      <x:c r="A13" s="13" t="s">
        <x:v>21</x:v>
      </x:c>
      <x:c r="B13" s="14" t="s">
        <x:v>22</x:v>
      </x:c>
      <x:c r="C13" s="13" t="s">
        <x:v>23</x:v>
      </x:c>
      <x:c r="D13" s="11"/>
      <x:c r="E13" s="13" t="s">
        <x:v>24</x:v>
      </x:c>
      <x:c r="F13" s="13" t="s">
        <x:v>22</x:v>
      </x:c>
      <x:c r="G13" s="12"/>
    </x:row>
    <x:row r="14">
      <x:c r="A14" s="15" t="s">
        <x:v>25</x:v>
      </x:c>
      <x:c r="B14" s="16" t="n">
        <x:f>COUNTIF(Pedidos!$P$2:$P$121,A14)</x:f>
        <x:v>2</x:v>
      </x:c>
      <x:c r="C14" s="17" t="n">
        <x:f>IFERROR(B14/$B$5,0)</x:f>
        <x:v>0.016666666666666666</x:v>
      </x:c>
      <x:c r="D14" s="11"/>
      <x:c r="E14" s="15" t="str">
        <x:v>Mesas</x:v>
      </x:c>
      <x:c r="F14" s="15" t="n">
        <x:f>SUMIF(Pedidos!$H$2:$H$121,E14,Pedidos!$I$2:$I$121)</x:f>
        <x:v>142</x:v>
      </x:c>
      <x:c r="G14" s="18"/>
    </x:row>
    <x:row r="15">
      <x:c r="A15" s="15" t="s">
        <x:v>26</x:v>
      </x:c>
      <x:c r="B15" s="15" t="n">
        <x:f>COUNTIF(Pedidos!$P$2:$P$121,A15)</x:f>
        <x:v>0</x:v>
      </x:c>
      <x:c r="C15" s="17" t="n">
        <x:f>IFERROR(B15/$B$5,0)</x:f>
        <x:v>0</x:v>
      </x:c>
      <x:c r="D15" s="11"/>
      <x:c r="E15" s="15" t="str">
        <x:v>Cadeiras</x:v>
      </x:c>
      <x:c r="F15" s="15" t="n">
        <x:f>SUMIF(Pedidos!$H$2:$H$121,E15,Pedidos!$I$2:$I$121)</x:f>
        <x:v>96</x:v>
      </x:c>
      <x:c r="G15" s="18"/>
    </x:row>
    <x:row r="16">
      <x:c r="A16" s="15" t="s">
        <x:v>27</x:v>
      </x:c>
      <x:c r="B16" s="15" t="n">
        <x:f>COUNTIF(Pedidos!$P$2:$P$121,A16)</x:f>
        <x:v>24</x:v>
      </x:c>
      <x:c r="C16" s="17" t="n">
        <x:f>IFERROR(B16/$B$5,0)</x:f>
        <x:v>0.2</x:v>
      </x:c>
      <x:c r="D16" s="11"/>
      <x:c r="E16" s="15" t="str">
        <x:v>Arquivos</x:v>
      </x:c>
      <x:c r="F16" s="15" t="n">
        <x:f>SUMIF(Pedidos!$H$2:$H$121,E16,Pedidos!$I$2:$I$121)</x:f>
        <x:v>31</x:v>
      </x:c>
      <x:c r="G16" s="18"/>
    </x:row>
    <x:row r="17">
      <x:c r="A17" s="15" t="s">
        <x:v>28</x:v>
      </x:c>
      <x:c r="B17" s="15" t="n">
        <x:f>COUNTIF(Pedidos!$P$2:$P$121,A17)</x:f>
        <x:v>87</x:v>
      </x:c>
      <x:c r="C17" s="17" t="n">
        <x:f>IFERROR(B17/$B$5,0)</x:f>
        <x:v>0.725</x:v>
      </x:c>
      <x:c r="D17" s="11"/>
      <x:c r="E17" s="15" t="str">
        <x:v>Armários</x:v>
      </x:c>
      <x:c r="F17" s="15" t="n">
        <x:f>SUMIF(Pedidos!$H$2:$H$121,E17,Pedidos!$I$2:$I$121)</x:f>
        <x:v>59</x:v>
      </x:c>
      <x:c r="G17" s="18"/>
    </x:row>
    <x:row r="18">
      <x:c r="A18" s="15" t="s">
        <x:v>29</x:v>
      </x:c>
      <x:c r="B18" s="15" t="n">
        <x:f>COUNTIF(Pedidos!$P$2:$P$121,A18)</x:f>
        <x:v>7</x:v>
      </x:c>
      <x:c r="C18" s="17" t="n">
        <x:f>IFERROR(B18/$B$5,0)</x:f>
        <x:v>0.058333333333333334</x:v>
      </x:c>
      <x:c r="D18" s="11"/>
      <x:c r="E18" s="11" t="str">
        <x:v>Divisórias</x:v>
      </x:c>
      <x:c r="F18" s="11" t="n">
        <x:f>SUMIF(Pedidos!$H$2:$H$121,E18,Pedidos!$I$2:$I$121)</x:f>
        <x:v>73</x:v>
      </x:c>
      <x:c r="G18" s="12"/>
    </x:row>
    <x:row r="19">
      <x:c r="A19" s="11"/>
      <x:c r="B19" s="11"/>
      <x:c r="C19" s="11"/>
      <x:c r="D19" s="11"/>
      <x:c r="E19" s="11"/>
      <x:c r="F19" s="11"/>
      <x:c r="G19" s="12"/>
    </x:row>
    <x:row r="20" ht="18.75">
      <x:c r="A20" s="32" t="s">
        <x:v>30</x:v>
      </x:c>
      <x:c r="B20" s="33"/>
      <x:c r="C20" s="33"/>
      <x:c r="D20" s="33"/>
      <x:c r="E20" s="33"/>
      <x:c r="F20" s="33"/>
      <x:c r="G20" s="12"/>
    </x:row>
    <x:row r="21">
      <x:c r="A21" s="26" t="s">
        <x:v>31</x:v>
      </x:c>
      <x:c r="B21" s="27"/>
      <x:c r="C21" s="27"/>
      <x:c r="D21" s="27"/>
      <x:c r="E21" s="27"/>
      <x:c r="F21" s="27"/>
      <x:c r="G21" s="18"/>
    </x:row>
    <x:row r="22">
      <x:c r="A22" s="26" t="s">
        <x:v>32</x:v>
      </x:c>
      <x:c r="B22" s="27"/>
      <x:c r="C22" s="27"/>
      <x:c r="D22" s="27"/>
      <x:c r="E22" s="27"/>
      <x:c r="F22" s="27"/>
      <x:c r="G22" s="18"/>
    </x:row>
    <x:row r="23">
      <x:c r="A23" s="26" t="s">
        <x:v>33</x:v>
      </x:c>
      <x:c r="B23" s="27"/>
      <x:c r="C23" s="27"/>
      <x:c r="D23" s="27"/>
      <x:c r="E23" s="27"/>
      <x:c r="F23" s="27"/>
      <x:c r="G23" s="18"/>
    </x:row>
    <x:row r="24">
      <x:c r="A24" s="26" t="s">
        <x:v>34</x:v>
      </x:c>
      <x:c r="B24" s="27"/>
      <x:c r="C24" s="27"/>
      <x:c r="D24" s="27"/>
      <x:c r="E24" s="27"/>
      <x:c r="F24" s="27"/>
      <x:c r="G24" s="18"/>
    </x:row>
    <x:row r="25">
      <x:c r="A25" s="26" t="s">
        <x:v>35</x:v>
      </x:c>
      <x:c r="B25" s="27"/>
      <x:c r="C25" s="27"/>
      <x:c r="D25" s="27"/>
      <x:c r="E25" s="27"/>
      <x:c r="F25" s="27"/>
      <x:c r="G25" s="18"/>
    </x:row>
    <x:row r="26">
      <x:c r="A26" s="11"/>
      <x:c r="B26" s="11"/>
      <x:c r="C26" s="11"/>
      <x:c r="D26" s="11"/>
      <x:c r="E26" s="11"/>
      <x:c r="F26" s="11"/>
      <x:c r="G26" s="12"/>
    </x:row>
    <x:row r="27">
      <x:c r="A27" s="11"/>
      <x:c r="B27" s="11"/>
      <x:c r="C27" s="11"/>
      <x:c r="D27" s="11"/>
      <x:c r="E27" s="11"/>
      <x:c r="F27" s="11"/>
      <x:c r="G27" s="12"/>
    </x:row>
    <x:row r="28">
      <x:c r="A28" s="11"/>
      <x:c r="B28" s="11"/>
      <x:c r="C28" s="11"/>
      <x:c r="D28" s="11"/>
      <x:c r="E28" s="11"/>
      <x:c r="F28" s="11"/>
      <x:c r="G28" s="12"/>
    </x:row>
    <x:row r="29">
      <x:c r="A29" s="11"/>
      <x:c r="B29" s="11"/>
      <x:c r="C29" s="11"/>
      <x:c r="D29" s="11"/>
      <x:c r="E29" s="11"/>
      <x:c r="F29" s="11"/>
      <x:c r="G29" s="12"/>
    </x:row>
    <x:row r="30">
      <x:c r="A30" s="11"/>
      <x:c r="B30" s="11"/>
      <x:c r="C30" s="11"/>
      <x:c r="D30" s="11"/>
      <x:c r="E30" s="11"/>
      <x:c r="F30" s="11"/>
      <x:c r="G30" s="12"/>
    </x:row>
  </x:sheetData>
  <x:mergeCells>
    <x:mergeCell ref="A25:F25"/>
    <x:mergeCell ref="A24:F24"/>
    <x:mergeCell ref="A2:F2"/>
    <x:mergeCell ref="E12:F12"/>
    <x:mergeCell ref="A1:F1"/>
    <x:mergeCell ref="A23:F23"/>
    <x:mergeCell ref="A22:F22"/>
    <x:mergeCell ref="A12:C12"/>
    <x:mergeCell ref="A21:F21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FF00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3" customWidth="1"/>
    <x:col min="2" max="3" width="12" customWidth="1"/>
    <x:col min="4" max="4" width="26" customWidth="1"/>
    <x:col min="5" max="5" width="15" customWidth="1"/>
    <x:col min="6" max="6" width="12" customWidth="1"/>
    <x:col min="7" max="7" width="30" customWidth="1"/>
    <x:col min="8" max="8" width="18" customWidth="1"/>
    <x:col min="9" max="9" width="11" customWidth="1"/>
    <x:col min="10" max="10" width="14" customWidth="1"/>
    <x:col min="11" max="11" width="11" customWidth="1"/>
    <x:col min="12" max="15" width="14" customWidth="1"/>
    <x:col min="16" max="16" width="18" customWidth="1"/>
    <x:col min="17" max="17" width="15" customWidth="1"/>
    <x:col min="18" max="18" width="12" customWidth="1"/>
    <x:col min="19" max="21" width="18" customWidth="1"/>
    <x:col min="22" max="22" width="23" customWidth="1"/>
    <x:col min="23" max="23" width="18" customWidth="1"/>
  </x:cols>
  <x:sheetData>
    <x:row r="1" ht="24" customHeight="1">
      <x:c r="A1" s="1" t="s">
        <x:v>36</x:v>
      </x:c>
      <x:c r="B1" s="1" t="s">
        <x:v>37</x:v>
      </x:c>
      <x:c r="C1" s="1" t="s">
        <x:v>38</x:v>
      </x:c>
      <x:c r="D1" s="1" t="s">
        <x:v>39</x:v>
      </x:c>
      <x:c r="E1" s="1" t="s">
        <x:v>40</x:v>
      </x:c>
      <x:c r="F1" s="1" t="s">
        <x:v>41</x:v>
      </x:c>
      <x:c r="G1" s="1" t="s">
        <x:v>42</x:v>
      </x:c>
      <x:c r="H1" s="1" t="s">
        <x:v>24</x:v>
      </x:c>
      <x:c r="I1" s="1" t="s">
        <x:v>22</x:v>
      </x:c>
      <x:c r="J1" s="1" t="s">
        <x:v>43</x:v>
      </x:c>
      <x:c r="K1" s="1" t="s">
        <x:v>44</x:v>
      </x:c>
      <x:c r="L1" s="1" t="s">
        <x:v>45</x:v>
      </x:c>
      <x:c r="M1" s="1" t="s">
        <x:v>46</x:v>
      </x:c>
      <x:c r="N1" s="1" t="s">
        <x:v>47</x:v>
      </x:c>
      <x:c r="O1" s="1" t="s">
        <x:v>48</x:v>
      </x:c>
      <x:c r="P1" s="1" t="s">
        <x:v>21</x:v>
      </x:c>
      <x:c r="Q1" s="1" t="s">
        <x:v>49</x:v>
      </x:c>
      <x:c r="R1" s="1" t="s">
        <x:v>50</x:v>
      </x:c>
      <x:c r="S1" s="5" t="s">
        <x:v>51</x:v>
      </x:c>
      <x:c r="T1" s="5" t="s">
        <x:v>52</x:v>
      </x:c>
      <x:c r="U1" s="5" t="s">
        <x:v>53</x:v>
      </x:c>
      <x:c r="V1" s="5" t="s">
        <x:v>54</x:v>
      </x:c>
      <x:c r="W1" s="5" t="s">
        <x:v>55</x:v>
      </x:c>
    </x:row>
    <x:row r="2">
      <x:c r="A2" s="12" t="s">
        <x:v>56</x:v>
      </x:c>
      <x:c r="B2" s="34">
        <x:v>46086</x:v>
      </x:c>
      <x:c r="C2" s="12" t="s">
        <x:v>57</x:v>
      </x:c>
      <x:c r="D2" s="12" t="s">
        <x:v>58</x:v>
      </x:c>
      <x:c r="E2" s="12" t="s">
        <x:v>59</x:v>
      </x:c>
      <x:c r="F2" s="12" t="s">
        <x:v>60</x:v>
      </x:c>
      <x:c r="G2" s="12" t="s">
        <x:v>61</x:v>
      </x:c>
      <x:c r="H2" s="12" t="s">
        <x:v>62</x:v>
      </x:c>
      <x:c r="I2" s="12">
        <x:v>1</x:v>
      </x:c>
      <x:c r="J2" s="37">
        <x:v>849.9</x:v>
      </x:c>
      <x:c r="K2" s="38">
        <x:v>0.05</x:v>
      </x:c>
      <x:c r="L2" s="37">
        <x:v>849.9</x:v>
      </x:c>
      <x:c r="M2" s="37">
        <x:v>807.4</x:v>
      </x:c>
      <x:c r="N2" s="34">
        <x:v>46094</x:v>
      </x:c>
      <x:c r="O2" s="34">
        <x:v>46097</x:v>
      </x:c>
      <x:c r="P2" s="12" t="s">
        <x:v>28</x:v>
      </x:c>
      <x:c r="Q2" s="37">
        <x:v>554.78</x:v>
      </x:c>
      <x:c r="R2" s="37">
        <x:v>150.56</x:v>
      </x:c>
      <x:c r="S2" s="36" t="n">
        <x:f t="shared" ref="S2:S33" si="0">IF(OR(B2="",N2=""),"",N2-B2)</x:f>
        <x:v>8</x:v>
      </x:c>
      <x:c r="T2" s="36" t="n">
        <x:f t="shared" ref="T2:T33" ca="1" si="1">IF(P2="Cancelado","",IF(P2="Entregue",IF(O2="","",MAX(0,O2-N2)),MAX(0,TODAY()-N2)))</x:f>
        <x:v>3</x:v>
      </x:c>
      <x:c r="U2" s="12" t="str">
        <x:f t="shared" ref="U2:U33" ca="1" si="2">IF(P2="Cancelado","Cancelado",IF(P2="Entregue",IF(T2&gt;0,"Entregue com atraso","Entregue no prazo"),IF(T2&gt;0,"Atrasado","Dentro do prazo")))</x:f>
        <x:v>Entregue com atraso</x:v>
      </x:c>
      <x:c r="V2" s="37" t="n">
        <x:f t="shared" ref="V2:V33" si="3">IF(OR(Q2="",R2=""),"",ROUND(Q2+R2,2))</x:f>
        <x:v>705.34</x:v>
      </x:c>
      <x:c r="W2" s="37" t="n">
        <x:f t="shared" ref="W2:W33" si="4">IF(OR(M2="",V2=""),"",ROUND(M2-V2,2))</x:f>
        <x:v>102.06</x:v>
      </x:c>
    </x:row>
    <x:row r="3">
      <x:c r="A3" s="12" t="s">
        <x:v>63</x:v>
      </x:c>
      <x:c r="B3" s="34">
        <x:v>46098</x:v>
      </x:c>
      <x:c r="C3" s="12" t="s">
        <x:v>64</x:v>
      </x:c>
      <x:c r="D3" s="12" t="s">
        <x:v>65</x:v>
      </x:c>
      <x:c r="E3" s="12" t="s">
        <x:v>59</x:v>
      </x:c>
      <x:c r="F3" s="12" t="s">
        <x:v>66</x:v>
      </x:c>
      <x:c r="G3" s="12" t="s">
        <x:v>67</x:v>
      </x:c>
      <x:c r="H3" s="12" t="s">
        <x:v>62</x:v>
      </x:c>
      <x:c r="I3" s="12">
        <x:v>3</x:v>
      </x:c>
      <x:c r="J3" s="37">
        <x:v>389.9</x:v>
      </x:c>
      <x:c r="K3" s="38">
        <x:v>0.08</x:v>
      </x:c>
      <x:c r="L3" s="37">
        <x:v>1169.7</x:v>
      </x:c>
      <x:c r="M3" s="37">
        <x:v>1076.1199999999999</x:v>
      </x:c>
      <x:c r="N3" s="34">
        <x:v>46109</x:v>
      </x:c>
      <x:c r="O3" s="34">
        <x:v>46108</x:v>
      </x:c>
      <x:c r="P3" s="12" t="s">
        <x:v>28</x:v>
      </x:c>
      <x:c r="Q3" s="37">
        <x:v>704.27</x:v>
      </x:c>
      <x:c r="R3" s="37">
        <x:v>224.42</x:v>
      </x:c>
      <x:c r="S3" s="36" t="n">
        <x:f t="shared" si="0">IF(OR(B3="",N3=""),"",N3-B3)</x:f>
        <x:v>11</x:v>
      </x:c>
      <x:c r="T3" s="36" t="n">
        <x:f t="shared" ca="1" si="1">IF(P3="Cancelado","",IF(P3="Entregue",IF(O3="","",MAX(0,O3-N3)),MAX(0,TODAY()-N3)))</x:f>
        <x:v>0</x:v>
      </x:c>
      <x:c r="U3" s="12" t="str">
        <x:f t="shared" ca="1" si="2">IF(P3="Cancelado","Cancelado",IF(P3="Entregue",IF(T3&gt;0,"Entregue com atraso","Entregue no prazo"),IF(T3&gt;0,"Atrasado","Dentro do prazo")))</x:f>
        <x:v>Entregue no prazo</x:v>
      </x:c>
      <x:c r="V3" s="37" t="n">
        <x:f t="shared" si="3">IF(OR(Q3="",R3=""),"",ROUND(Q3+R3,2))</x:f>
        <x:v>928.69</x:v>
      </x:c>
      <x:c r="W3" s="37" t="n">
        <x:f t="shared" si="4">IF(OR(M3="",V3=""),"",ROUND(M3-V3,2))</x:f>
        <x:v>147.43</x:v>
      </x:c>
    </x:row>
    <x:row r="4">
      <x:c r="A4" s="12" t="s">
        <x:v>68</x:v>
      </x:c>
      <x:c r="B4" s="34">
        <x:v>46053</x:v>
      </x:c>
      <x:c r="C4" s="12" t="s">
        <x:v>69</x:v>
      </x:c>
      <x:c r="D4" s="12" t="s">
        <x:v>70</x:v>
      </x:c>
      <x:c r="E4" s="12" t="s">
        <x:v>71</x:v>
      </x:c>
      <x:c r="F4" s="12" t="s">
        <x:v>72</x:v>
      </x:c>
      <x:c r="G4" s="12" t="s">
        <x:v>73</x:v>
      </x:c>
      <x:c r="H4" s="12" t="s">
        <x:v>74</x:v>
      </x:c>
      <x:c r="I4" s="12">
        <x:v>2</x:v>
      </x:c>
      <x:c r="J4" s="37">
        <x:v>1349.9</x:v>
      </x:c>
      <x:c r="K4" s="38">
        <x:v>0</x:v>
      </x:c>
      <x:c r="L4" s="37">
        <x:v>2699.8</x:v>
      </x:c>
      <x:c r="M4" s="37">
        <x:v>2699.8</x:v>
      </x:c>
      <x:c r="N4" s="34">
        <x:v>46063</x:v>
      </x:c>
      <x:c r="O4" s="34">
        <x:v>46060</x:v>
      </x:c>
      <x:c r="P4" s="12" t="s">
        <x:v>28</x:v>
      </x:c>
      <x:c r="Q4" s="37">
        <x:v>1989.1</x:v>
      </x:c>
      <x:c r="R4" s="37">
        <x:v>171.01</x:v>
      </x:c>
      <x:c r="S4" s="36" t="n">
        <x:f t="shared" si="0">IF(OR(B4="",N4=""),"",N4-B4)</x:f>
        <x:v>10</x:v>
      </x:c>
      <x:c r="T4" s="36" t="n">
        <x:f t="shared" ca="1" si="1">IF(P4="Cancelado","",IF(P4="Entregue",IF(O4="","",MAX(0,O4-N4)),MAX(0,TODAY()-N4)))</x:f>
        <x:v>0</x:v>
      </x:c>
      <x:c r="U4" s="12" t="str">
        <x:f t="shared" ca="1" si="2">IF(P4="Cancelado","Cancelado",IF(P4="Entregue",IF(T4&gt;0,"Entregue com atraso","Entregue no prazo"),IF(T4&gt;0,"Atrasado","Dentro do prazo")))</x:f>
        <x:v>Entregue no prazo</x:v>
      </x:c>
      <x:c r="V4" s="37" t="n">
        <x:f t="shared" si="3">IF(OR(Q4="",R4=""),"",ROUND(Q4+R4,2))</x:f>
        <x:v>2160.11</x:v>
      </x:c>
      <x:c r="W4" s="37" t="n">
        <x:f t="shared" si="4">IF(OR(M4="",V4=""),"",ROUND(M4-V4,2))</x:f>
        <x:v>539.69</x:v>
      </x:c>
    </x:row>
    <x:row r="5">
      <x:c r="A5" s="12" t="s">
        <x:v>75</x:v>
      </x:c>
      <x:c r="B5" s="34">
        <x:v>46123</x:v>
      </x:c>
      <x:c r="C5" s="12" t="s">
        <x:v>69</x:v>
      </x:c>
      <x:c r="D5" s="12" t="s">
        <x:v>70</x:v>
      </x:c>
      <x:c r="E5" s="12" t="s">
        <x:v>71</x:v>
      </x:c>
      <x:c r="F5" s="12" t="s">
        <x:v>76</x:v>
      </x:c>
      <x:c r="G5" s="12" t="s">
        <x:v>77</x:v>
      </x:c>
      <x:c r="H5" s="12" t="s">
        <x:v>62</x:v>
      </x:c>
      <x:c r="I5" s="12">
        <x:v>5</x:v>
      </x:c>
      <x:c r="J5" s="37">
        <x:v>689.9</x:v>
      </x:c>
      <x:c r="K5" s="38">
        <x:v>0.08</x:v>
      </x:c>
      <x:c r="L5" s="37">
        <x:v>3449.5</x:v>
      </x:c>
      <x:c r="M5" s="37">
        <x:v>3173.54</x:v>
      </x:c>
      <x:c r="N5" s="34">
        <x:v>46137</x:v>
      </x:c>
      <x:c r="O5" s="35"/>
      <x:c r="P5" s="12" t="s">
        <x:v>27</x:v>
      </x:c>
      <x:c r="Q5" s="37">
        <x:v>2151.2199999999998</x:v>
      </x:c>
      <x:c r="R5" s="37">
        <x:v>90.19</x:v>
      </x:c>
      <x:c r="S5" s="36" t="n">
        <x:f t="shared" si="0">IF(OR(B5="",N5=""),"",N5-B5)</x:f>
        <x:v>14</x:v>
      </x:c>
      <x:c r="T5" s="36" t="n">
        <x:f t="shared" ca="1" si="1">IF(P5="Cancelado","",IF(P5="Entregue",IF(O5="","",MAX(0,O5-N5)),MAX(0,TODAY()-N5)))</x:f>
        <x:v>143</x:v>
      </x:c>
      <x:c r="U5" s="12" t="str">
        <x:f t="shared" ca="1" si="2">IF(P5="Cancelado","Cancelado",IF(P5="Entregue",IF(T5&gt;0,"Entregue com atraso","Entregue no prazo"),IF(T5&gt;0,"Atrasado","Dentro do prazo")))</x:f>
        <x:v>Atrasado</x:v>
      </x:c>
      <x:c r="V5" s="37" t="n">
        <x:f t="shared" si="3">IF(OR(Q5="",R5=""),"",ROUND(Q5+R5,2))</x:f>
        <x:v>2241.41</x:v>
      </x:c>
      <x:c r="W5" s="37" t="n">
        <x:f t="shared" si="4">IF(OR(M5="",V5=""),"",ROUND(M5-V5,2))</x:f>
        <x:v>932.13</x:v>
      </x:c>
    </x:row>
    <x:row r="6">
      <x:c r="A6" s="12" t="s">
        <x:v>78</x:v>
      </x:c>
      <x:c r="B6" s="34">
        <x:v>46044</x:v>
      </x:c>
      <x:c r="C6" s="12" t="s">
        <x:v>79</x:v>
      </x:c>
      <x:c r="D6" s="12" t="s">
        <x:v>80</x:v>
      </x:c>
      <x:c r="E6" s="12" t="s">
        <x:v>81</x:v>
      </x:c>
      <x:c r="F6" s="12" t="s">
        <x:v>82</x:v>
      </x:c>
      <x:c r="G6" s="12" t="s">
        <x:v>83</x:v>
      </x:c>
      <x:c r="H6" s="12" t="s">
        <x:v>84</x:v>
      </x:c>
      <x:c r="I6" s="12">
        <x:v>5</x:v>
      </x:c>
      <x:c r="J6" s="37">
        <x:v>729.9</x:v>
      </x:c>
      <x:c r="K6" s="38">
        <x:v>0</x:v>
      </x:c>
      <x:c r="L6" s="37">
        <x:v>3649.5</x:v>
      </x:c>
      <x:c r="M6" s="37">
        <x:v>3649.5</x:v>
      </x:c>
      <x:c r="N6" s="34">
        <x:v>46052</x:v>
      </x:c>
      <x:c r="O6" s="35"/>
      <x:c r="P6" s="12" t="s">
        <x:v>27</x:v>
      </x:c>
      <x:c r="Q6" s="37">
        <x:v>2484.65</x:v>
      </x:c>
      <x:c r="R6" s="37">
        <x:v>151.55000000000001</x:v>
      </x:c>
      <x:c r="S6" s="36" t="n">
        <x:f t="shared" si="0">IF(OR(B6="",N6=""),"",N6-B6)</x:f>
        <x:v>8</x:v>
      </x:c>
      <x:c r="T6" s="36" t="n">
        <x:f t="shared" ca="1" si="1">IF(P6="Cancelado","",IF(P6="Entregue",IF(O6="","",MAX(0,O6-N6)),MAX(0,TODAY()-N6)))</x:f>
        <x:v>228</x:v>
      </x:c>
      <x:c r="U6" s="12" t="str">
        <x:f t="shared" ca="1" si="2">IF(P6="Cancelado","Cancelado",IF(P6="Entregue",IF(T6&gt;0,"Entregue com atraso","Entregue no prazo"),IF(T6&gt;0,"Atrasado","Dentro do prazo")))</x:f>
        <x:v>Atrasado</x:v>
      </x:c>
      <x:c r="V6" s="37" t="n">
        <x:f t="shared" si="3">IF(OR(Q6="",R6=""),"",ROUND(Q6+R6,2))</x:f>
        <x:v>2636.2</x:v>
      </x:c>
      <x:c r="W6" s="37" t="n">
        <x:f t="shared" si="4">IF(OR(M6="",V6=""),"",ROUND(M6-V6,2))</x:f>
        <x:v>1013.3</x:v>
      </x:c>
    </x:row>
    <x:row r="7">
      <x:c r="A7" s="12" t="s">
        <x:v>85</x:v>
      </x:c>
      <x:c r="B7" s="34">
        <x:v>46240</x:v>
      </x:c>
      <x:c r="C7" s="12" t="s">
        <x:v>86</x:v>
      </x:c>
      <x:c r="D7" s="12" t="s">
        <x:v>87</x:v>
      </x:c>
      <x:c r="E7" s="12" t="s">
        <x:v>71</x:v>
      </x:c>
      <x:c r="F7" s="12" t="s">
        <x:v>88</x:v>
      </x:c>
      <x:c r="G7" s="12" t="s">
        <x:v>89</x:v>
      </x:c>
      <x:c r="H7" s="12" t="s">
        <x:v>90</x:v>
      </x:c>
      <x:c r="I7" s="12">
        <x:v>6</x:v>
      </x:c>
      <x:c r="J7" s="37">
        <x:v>649.9</x:v>
      </x:c>
      <x:c r="K7" s="38">
        <x:v>0</x:v>
      </x:c>
      <x:c r="L7" s="37">
        <x:v>3899.4</x:v>
      </x:c>
      <x:c r="M7" s="37">
        <x:v>3899.4</x:v>
      </x:c>
      <x:c r="N7" s="34">
        <x:v>46248</x:v>
      </x:c>
      <x:c r="O7" s="34">
        <x:v>46255</x:v>
      </x:c>
      <x:c r="P7" s="12" t="s">
        <x:v>28</x:v>
      </x:c>
      <x:c r="Q7" s="37">
        <x:v>2821.94</x:v>
      </x:c>
      <x:c r="R7" s="37">
        <x:v>188.15</x:v>
      </x:c>
      <x:c r="S7" s="36" t="n">
        <x:f t="shared" si="0">IF(OR(B7="",N7=""),"",N7-B7)</x:f>
        <x:v>8</x:v>
      </x:c>
      <x:c r="T7" s="36" t="n">
        <x:f t="shared" ca="1" si="1">IF(P7="Cancelado","",IF(P7="Entregue",IF(O7="","",MAX(0,O7-N7)),MAX(0,TODAY()-N7)))</x:f>
        <x:v>7</x:v>
      </x:c>
      <x:c r="U7" s="12" t="str">
        <x:f t="shared" ca="1" si="2">IF(P7="Cancelado","Cancelado",IF(P7="Entregue",IF(T7&gt;0,"Entregue com atraso","Entregue no prazo"),IF(T7&gt;0,"Atrasado","Dentro do prazo")))</x:f>
        <x:v>Entregue com atraso</x:v>
      </x:c>
      <x:c r="V7" s="37" t="n">
        <x:f t="shared" si="3">IF(OR(Q7="",R7=""),"",ROUND(Q7+R7,2))</x:f>
        <x:v>3010.09</x:v>
      </x:c>
      <x:c r="W7" s="37" t="n">
        <x:f t="shared" si="4">IF(OR(M7="",V7=""),"",ROUND(M7-V7,2))</x:f>
        <x:v>889.31</x:v>
      </x:c>
    </x:row>
    <x:row r="8">
      <x:c r="A8" s="12" t="s">
        <x:v>91</x:v>
      </x:c>
      <x:c r="B8" s="34">
        <x:v>46070</x:v>
      </x:c>
      <x:c r="C8" s="12" t="s">
        <x:v>92</x:v>
      </x:c>
      <x:c r="D8" s="12" t="s">
        <x:v>93</x:v>
      </x:c>
      <x:c r="E8" s="12" t="s">
        <x:v>94</x:v>
      </x:c>
      <x:c r="F8" s="12" t="s">
        <x:v>82</x:v>
      </x:c>
      <x:c r="G8" s="12" t="s">
        <x:v>83</x:v>
      </x:c>
      <x:c r="H8" s="12" t="s">
        <x:v>84</x:v>
      </x:c>
      <x:c r="I8" s="12">
        <x:v>3</x:v>
      </x:c>
      <x:c r="J8" s="37">
        <x:v>729.9</x:v>
      </x:c>
      <x:c r="K8" s="38">
        <x:v>0.03</x:v>
      </x:c>
      <x:c r="L8" s="37">
        <x:v>2189.6999999999998</x:v>
      </x:c>
      <x:c r="M8" s="37">
        <x:v>2124.0100000000002</x:v>
      </x:c>
      <x:c r="N8" s="34">
        <x:v>46081</x:v>
      </x:c>
      <x:c r="O8" s="34">
        <x:v>46088</x:v>
      </x:c>
      <x:c r="P8" s="12" t="s">
        <x:v>28</x:v>
      </x:c>
      <x:c r="Q8" s="37">
        <x:v>1550.75</x:v>
      </x:c>
      <x:c r="R8" s="37">
        <x:v>96.61</x:v>
      </x:c>
      <x:c r="S8" s="36" t="n">
        <x:f t="shared" si="0">IF(OR(B8="",N8=""),"",N8-B8)</x:f>
        <x:v>11</x:v>
      </x:c>
      <x:c r="T8" s="36" t="n">
        <x:f t="shared" ca="1" si="1">IF(P8="Cancelado","",IF(P8="Entregue",IF(O8="","",MAX(0,O8-N8)),MAX(0,TODAY()-N8)))</x:f>
        <x:v>7</x:v>
      </x:c>
      <x:c r="U8" s="12" t="str">
        <x:f t="shared" ca="1" si="2">IF(P8="Cancelado","Cancelado",IF(P8="Entregue",IF(T8&gt;0,"Entregue com atraso","Entregue no prazo"),IF(T8&gt;0,"Atrasado","Dentro do prazo")))</x:f>
        <x:v>Entregue com atraso</x:v>
      </x:c>
      <x:c r="V8" s="37" t="n">
        <x:f t="shared" si="3">IF(OR(Q8="",R8=""),"",ROUND(Q8+R8,2))</x:f>
        <x:v>1647.36</x:v>
      </x:c>
      <x:c r="W8" s="37" t="n">
        <x:f t="shared" si="4">IF(OR(M8="",V8=""),"",ROUND(M8-V8,2))</x:f>
        <x:v>476.65</x:v>
      </x:c>
    </x:row>
    <x:row r="9">
      <x:c r="A9" s="12" t="s">
        <x:v>95</x:v>
      </x:c>
      <x:c r="B9" s="34">
        <x:v>46110</x:v>
      </x:c>
      <x:c r="C9" s="12" t="s">
        <x:v>96</x:v>
      </x:c>
      <x:c r="D9" s="12" t="s">
        <x:v>97</x:v>
      </x:c>
      <x:c r="E9" s="12" t="s">
        <x:v>94</x:v>
      </x:c>
      <x:c r="F9" s="12" t="s">
        <x:v>98</x:v>
      </x:c>
      <x:c r="G9" s="12" t="s">
        <x:v>99</x:v>
      </x:c>
      <x:c r="H9" s="12" t="s">
        <x:v>62</x:v>
      </x:c>
      <x:c r="I9" s="12">
        <x:v>4</x:v>
      </x:c>
      <x:c r="J9" s="37">
        <x:v>749.9</x:v>
      </x:c>
      <x:c r="K9" s="38">
        <x:v>0</x:v>
      </x:c>
      <x:c r="L9" s="37">
        <x:v>2999.6</x:v>
      </x:c>
      <x:c r="M9" s="37">
        <x:v>2999.6</x:v>
      </x:c>
      <x:c r="N9" s="34">
        <x:v>46120</x:v>
      </x:c>
      <x:c r="O9" s="34">
        <x:v>46118</x:v>
      </x:c>
      <x:c r="P9" s="12" t="s">
        <x:v>28</x:v>
      </x:c>
      <x:c r="Q9" s="37">
        <x:v>1961.01</x:v>
      </x:c>
      <x:c r="R9" s="37">
        <x:v>266.58</x:v>
      </x:c>
      <x:c r="S9" s="36" t="n">
        <x:f t="shared" si="0">IF(OR(B9="",N9=""),"",N9-B9)</x:f>
        <x:v>10</x:v>
      </x:c>
      <x:c r="T9" s="36" t="n">
        <x:f t="shared" ca="1" si="1">IF(P9="Cancelado","",IF(P9="Entregue",IF(O9="","",MAX(0,O9-N9)),MAX(0,TODAY()-N9)))</x:f>
        <x:v>0</x:v>
      </x:c>
      <x:c r="U9" s="12" t="str">
        <x:f t="shared" ca="1" si="2">IF(P9="Cancelado","Cancelado",IF(P9="Entregue",IF(T9&gt;0,"Entregue com atraso","Entregue no prazo"),IF(T9&gt;0,"Atrasado","Dentro do prazo")))</x:f>
        <x:v>Entregue no prazo</x:v>
      </x:c>
      <x:c r="V9" s="37" t="n">
        <x:f t="shared" si="3">IF(OR(Q9="",R9=""),"",ROUND(Q9+R9,2))</x:f>
        <x:v>2227.59</x:v>
      </x:c>
      <x:c r="W9" s="37" t="n">
        <x:f t="shared" si="4">IF(OR(M9="",V9=""),"",ROUND(M9-V9,2))</x:f>
        <x:v>772.01</x:v>
      </x:c>
    </x:row>
    <x:row r="10">
      <x:c r="A10" s="12" t="s">
        <x:v>100</x:v>
      </x:c>
      <x:c r="B10" s="34">
        <x:v>46251</x:v>
      </x:c>
      <x:c r="C10" s="12" t="s">
        <x:v>101</x:v>
      </x:c>
      <x:c r="D10" s="12" t="s">
        <x:v>102</x:v>
      </x:c>
      <x:c r="E10" s="12" t="s">
        <x:v>103</x:v>
      </x:c>
      <x:c r="F10" s="12" t="s">
        <x:v>104</x:v>
      </x:c>
      <x:c r="G10" s="12" t="s">
        <x:v>105</x:v>
      </x:c>
      <x:c r="H10" s="12" t="s">
        <x:v>74</x:v>
      </x:c>
      <x:c r="I10" s="12">
        <x:v>4</x:v>
      </x:c>
      <x:c r="J10" s="37">
        <x:v>699.9</x:v>
      </x:c>
      <x:c r="K10" s="38">
        <x:v>0.08</x:v>
      </x:c>
      <x:c r="L10" s="37">
        <x:v>2799.6</x:v>
      </x:c>
      <x:c r="M10" s="37">
        <x:v>2575.63</x:v>
      </x:c>
      <x:c r="N10" s="34">
        <x:v>46263</x:v>
      </x:c>
      <x:c r="O10" s="34">
        <x:v>46270</x:v>
      </x:c>
      <x:c r="P10" s="12" t="s">
        <x:v>28</x:v>
      </x:c>
      <x:c r="Q10" s="37">
        <x:v>1785.98</x:v>
      </x:c>
      <x:c r="R10" s="37">
        <x:v>107.25</x:v>
      </x:c>
      <x:c r="S10" s="36" t="n">
        <x:f t="shared" si="0">IF(OR(B10="",N10=""),"",N10-B10)</x:f>
        <x:v>12</x:v>
      </x:c>
      <x:c r="T10" s="36" t="n">
        <x:f t="shared" ca="1" si="1">IF(P10="Cancelado","",IF(P10="Entregue",IF(O10="","",MAX(0,O10-N10)),MAX(0,TODAY()-N10)))</x:f>
        <x:v>7</x:v>
      </x:c>
      <x:c r="U10" s="12" t="str">
        <x:f t="shared" ca="1" si="2">IF(P10="Cancelado","Cancelado",IF(P10="Entregue",IF(T10&gt;0,"Entregue com atraso","Entregue no prazo"),IF(T10&gt;0,"Atrasado","Dentro do prazo")))</x:f>
        <x:v>Entregue com atraso</x:v>
      </x:c>
      <x:c r="V10" s="37" t="n">
        <x:f t="shared" si="3">IF(OR(Q10="",R10=""),"",ROUND(Q10+R10,2))</x:f>
        <x:v>1893.23</x:v>
      </x:c>
      <x:c r="W10" s="37" t="n">
        <x:f t="shared" si="4">IF(OR(M10="",V10=""),"",ROUND(M10-V10,2))</x:f>
        <x:v>682.4</x:v>
      </x:c>
    </x:row>
    <x:row r="11">
      <x:c r="A11" s="12" t="s">
        <x:v>106</x:v>
      </x:c>
      <x:c r="B11" s="34">
        <x:v>46090</x:v>
      </x:c>
      <x:c r="C11" s="12" t="s">
        <x:v>107</x:v>
      </x:c>
      <x:c r="D11" s="12" t="s">
        <x:v>108</x:v>
      </x:c>
      <x:c r="E11" s="12" t="s">
        <x:v>109</x:v>
      </x:c>
      <x:c r="F11" s="12" t="s">
        <x:v>76</x:v>
      </x:c>
      <x:c r="G11" s="12" t="s">
        <x:v>77</x:v>
      </x:c>
      <x:c r="H11" s="12" t="s">
        <x:v>62</x:v>
      </x:c>
      <x:c r="I11" s="12">
        <x:v>5</x:v>
      </x:c>
      <x:c r="J11" s="37">
        <x:v>689.9</x:v>
      </x:c>
      <x:c r="K11" s="38">
        <x:v>0.08</x:v>
      </x:c>
      <x:c r="L11" s="37">
        <x:v>3449.5</x:v>
      </x:c>
      <x:c r="M11" s="37">
        <x:v>3173.54</x:v>
      </x:c>
      <x:c r="N11" s="34">
        <x:v>46104</x:v>
      </x:c>
      <x:c r="O11" s="34">
        <x:v>46109</x:v>
      </x:c>
      <x:c r="P11" s="12" t="s">
        <x:v>28</x:v>
      </x:c>
      <x:c r="Q11" s="37">
        <x:v>2170.4</x:v>
      </x:c>
      <x:c r="R11" s="37">
        <x:v>96.54</x:v>
      </x:c>
      <x:c r="S11" s="36" t="n">
        <x:f t="shared" si="0">IF(OR(B11="",N11=""),"",N11-B11)</x:f>
        <x:v>14</x:v>
      </x:c>
      <x:c r="T11" s="36" t="n">
        <x:f t="shared" ca="1" si="1">IF(P11="Cancelado","",IF(P11="Entregue",IF(O11="","",MAX(0,O11-N11)),MAX(0,TODAY()-N11)))</x:f>
        <x:v>5</x:v>
      </x:c>
      <x:c r="U11" s="12" t="str">
        <x:f t="shared" ca="1" si="2">IF(P11="Cancelado","Cancelado",IF(P11="Entregue",IF(T11&gt;0,"Entregue com atraso","Entregue no prazo"),IF(T11&gt;0,"Atrasado","Dentro do prazo")))</x:f>
        <x:v>Entregue com atraso</x:v>
      </x:c>
      <x:c r="V11" s="37" t="n">
        <x:f t="shared" si="3">IF(OR(Q11="",R11=""),"",ROUND(Q11+R11,2))</x:f>
        <x:v>2266.94</x:v>
      </x:c>
      <x:c r="W11" s="37" t="n">
        <x:f t="shared" si="4">IF(OR(M11="",V11=""),"",ROUND(M11-V11,2))</x:f>
        <x:v>906.6</x:v>
      </x:c>
    </x:row>
    <x:row r="12">
      <x:c r="A12" s="12" t="s">
        <x:v>110</x:v>
      </x:c>
      <x:c r="B12" s="34">
        <x:v>46062</x:v>
      </x:c>
      <x:c r="C12" s="12" t="s">
        <x:v>57</x:v>
      </x:c>
      <x:c r="D12" s="12" t="s">
        <x:v>58</x:v>
      </x:c>
      <x:c r="E12" s="12" t="s">
        <x:v>59</x:v>
      </x:c>
      <x:c r="F12" s="12" t="s">
        <x:v>111</x:v>
      </x:c>
      <x:c r="G12" s="12" t="s">
        <x:v>112</x:v>
      </x:c>
      <x:c r="H12" s="12" t="s">
        <x:v>113</x:v>
      </x:c>
      <x:c r="I12" s="12">
        <x:v>2</x:v>
      </x:c>
      <x:c r="J12" s="37">
        <x:v>599.9</x:v>
      </x:c>
      <x:c r="K12" s="38">
        <x:v>0</x:v>
      </x:c>
      <x:c r="L12" s="37">
        <x:v>1199.8</x:v>
      </x:c>
      <x:c r="M12" s="37">
        <x:v>1199.8</x:v>
      </x:c>
      <x:c r="N12" s="34">
        <x:v>46068</x:v>
      </x:c>
      <x:c r="O12" s="34">
        <x:v>46067</x:v>
      </x:c>
      <x:c r="P12" s="12" t="s">
        <x:v>28</x:v>
      </x:c>
      <x:c r="Q12" s="37">
        <x:v>895.93</x:v>
      </x:c>
      <x:c r="R12" s="37">
        <x:v>144.21</x:v>
      </x:c>
      <x:c r="S12" s="36" t="n">
        <x:f t="shared" si="0">IF(OR(B12="",N12=""),"",N12-B12)</x:f>
        <x:v>6</x:v>
      </x:c>
      <x:c r="T12" s="36" t="n">
        <x:f t="shared" ca="1" si="1">IF(P12="Cancelado","",IF(P12="Entregue",IF(O12="","",MAX(0,O12-N12)),MAX(0,TODAY()-N12)))</x:f>
        <x:v>0</x:v>
      </x:c>
      <x:c r="U12" s="12" t="str">
        <x:f t="shared" ca="1" si="2">IF(P12="Cancelado","Cancelado",IF(P12="Entregue",IF(T12&gt;0,"Entregue com atraso","Entregue no prazo"),IF(T12&gt;0,"Atrasado","Dentro do prazo")))</x:f>
        <x:v>Entregue no prazo</x:v>
      </x:c>
      <x:c r="V12" s="37" t="n">
        <x:f t="shared" si="3">IF(OR(Q12="",R12=""),"",ROUND(Q12+R12,2))</x:f>
        <x:v>1040.14</x:v>
      </x:c>
      <x:c r="W12" s="37" t="n">
        <x:f t="shared" si="4">IF(OR(M12="",V12=""),"",ROUND(M12-V12,2))</x:f>
        <x:v>159.66</x:v>
      </x:c>
    </x:row>
    <x:row r="13">
      <x:c r="A13" s="12" t="s">
        <x:v>114</x:v>
      </x:c>
      <x:c r="B13" s="34">
        <x:v>46043</x:v>
      </x:c>
      <x:c r="C13" s="12" t="s">
        <x:v>115</x:v>
      </x:c>
      <x:c r="D13" s="12" t="s">
        <x:v>116</x:v>
      </x:c>
      <x:c r="E13" s="12" t="s">
        <x:v>117</x:v>
      </x:c>
      <x:c r="F13" s="12" t="s">
        <x:v>72</x:v>
      </x:c>
      <x:c r="G13" s="12" t="s">
        <x:v>73</x:v>
      </x:c>
      <x:c r="H13" s="12" t="s">
        <x:v>74</x:v>
      </x:c>
      <x:c r="I13" s="12">
        <x:v>8</x:v>
      </x:c>
      <x:c r="J13" s="37">
        <x:v>1349.9</x:v>
      </x:c>
      <x:c r="K13" s="38">
        <x:v>0.05</x:v>
      </x:c>
      <x:c r="L13" s="37">
        <x:v>10799.2</x:v>
      </x:c>
      <x:c r="M13" s="37">
        <x:v>10259.24</x:v>
      </x:c>
      <x:c r="N13" s="34">
        <x:v>46052</x:v>
      </x:c>
      <x:c r="O13" s="35"/>
      <x:c r="P13" s="12" t="s">
        <x:v>29</x:v>
      </x:c>
      <x:c r="Q13" s="37">
        <x:v>7773.68</x:v>
      </x:c>
      <x:c r="R13" s="37">
        <x:v>47.7</x:v>
      </x:c>
      <x:c r="S13" s="36" t="n">
        <x:f t="shared" si="0">IF(OR(B13="",N13=""),"",N13-B13)</x:f>
        <x:v>9</x:v>
      </x:c>
      <x:c r="T13" s="36" t="str">
        <x:f t="shared" ca="1" si="1">IF(P13="Cancelado","",IF(P13="Entregue",IF(O13="","",MAX(0,O13-N13)),MAX(0,TODAY()-N13)))</x:f>
      </x:c>
      <x:c r="U13" s="12" t="str">
        <x:f t="shared" si="2">IF(P13="Cancelado","Cancelado",IF(P13="Entregue",IF(T13&gt;0,"Entregue com atraso","Entregue no prazo"),IF(T13&gt;0,"Atrasado","Dentro do prazo")))</x:f>
        <x:v>Cancelado</x:v>
      </x:c>
      <x:c r="V13" s="37" t="n">
        <x:f t="shared" si="3">IF(OR(Q13="",R13=""),"",ROUND(Q13+R13,2))</x:f>
        <x:v>7821.38</x:v>
      </x:c>
      <x:c r="W13" s="37" t="n">
        <x:f t="shared" si="4">IF(OR(M13="",V13=""),"",ROUND(M13-V13,2))</x:f>
        <x:v>2437.86</x:v>
      </x:c>
    </x:row>
    <x:row r="14">
      <x:c r="A14" s="12" t="s">
        <x:v>118</x:v>
      </x:c>
      <x:c r="B14" s="34">
        <x:v>46211</x:v>
      </x:c>
      <x:c r="C14" s="12" t="s">
        <x:v>119</x:v>
      </x:c>
      <x:c r="D14" s="12" t="s">
        <x:v>120</x:v>
      </x:c>
      <x:c r="E14" s="12" t="s">
        <x:v>117</x:v>
      </x:c>
      <x:c r="F14" s="12" t="s">
        <x:v>76</x:v>
      </x:c>
      <x:c r="G14" s="12" t="s">
        <x:v>77</x:v>
      </x:c>
      <x:c r="H14" s="12" t="s">
        <x:v>62</x:v>
      </x:c>
      <x:c r="I14" s="12">
        <x:v>5</x:v>
      </x:c>
      <x:c r="J14" s="37">
        <x:v>689.9</x:v>
      </x:c>
      <x:c r="K14" s="38">
        <x:v>0.08</x:v>
      </x:c>
      <x:c r="L14" s="37">
        <x:v>3449.5</x:v>
      </x:c>
      <x:c r="M14" s="37">
        <x:v>3173.54</x:v>
      </x:c>
      <x:c r="N14" s="34">
        <x:v>46221</x:v>
      </x:c>
      <x:c r="O14" s="34">
        <x:v>46222</x:v>
      </x:c>
      <x:c r="P14" s="12" t="s">
        <x:v>28</x:v>
      </x:c>
      <x:c r="Q14" s="37">
        <x:v>2047.9</x:v>
      </x:c>
      <x:c r="R14" s="37">
        <x:v>45.76</x:v>
      </x:c>
      <x:c r="S14" s="36" t="n">
        <x:f t="shared" si="0">IF(OR(B14="",N14=""),"",N14-B14)</x:f>
        <x:v>10</x:v>
      </x:c>
      <x:c r="T14" s="36" t="n">
        <x:f t="shared" ca="1" si="1">IF(P14="Cancelado","",IF(P14="Entregue",IF(O14="","",MAX(0,O14-N14)),MAX(0,TODAY()-N14)))</x:f>
        <x:v>1</x:v>
      </x:c>
      <x:c r="U14" s="12" t="str">
        <x:f t="shared" ca="1" si="2">IF(P14="Cancelado","Cancelado",IF(P14="Entregue",IF(T14&gt;0,"Entregue com atraso","Entregue no prazo"),IF(T14&gt;0,"Atrasado","Dentro do prazo")))</x:f>
        <x:v>Entregue com atraso</x:v>
      </x:c>
      <x:c r="V14" s="37" t="n">
        <x:f t="shared" si="3">IF(OR(Q14="",R14=""),"",ROUND(Q14+R14,2))</x:f>
        <x:v>2093.66</x:v>
      </x:c>
      <x:c r="W14" s="37" t="n">
        <x:f t="shared" si="4">IF(OR(M14="",V14=""),"",ROUND(M14-V14,2))</x:f>
        <x:v>1079.88</x:v>
      </x:c>
    </x:row>
    <x:row r="15">
      <x:c r="A15" s="12" t="s">
        <x:v>121</x:v>
      </x:c>
      <x:c r="B15" s="34">
        <x:v>46211</x:v>
      </x:c>
      <x:c r="C15" s="12" t="s">
        <x:v>122</x:v>
      </x:c>
      <x:c r="D15" s="12" t="s">
        <x:v>123</x:v>
      </x:c>
      <x:c r="E15" s="12" t="s">
        <x:v>81</x:v>
      </x:c>
      <x:c r="F15" s="12" t="s">
        <x:v>124</x:v>
      </x:c>
      <x:c r="G15" s="12" t="s">
        <x:v>125</x:v>
      </x:c>
      <x:c r="H15" s="12" t="s">
        <x:v>126</x:v>
      </x:c>
      <x:c r="I15" s="12">
        <x:v>3</x:v>
      </x:c>
      <x:c r="J15" s="37">
        <x:v>579.9</x:v>
      </x:c>
      <x:c r="K15" s="38">
        <x:v>0.05</x:v>
      </x:c>
      <x:c r="L15" s="37">
        <x:v>1739.7</x:v>
      </x:c>
      <x:c r="M15" s="37">
        <x:v>1652.71</x:v>
      </x:c>
      <x:c r="N15" s="34">
        <x:v>46217</x:v>
      </x:c>
      <x:c r="O15" s="35"/>
      <x:c r="P15" s="12" t="s">
        <x:v>27</x:v>
      </x:c>
      <x:c r="Q15" s="37">
        <x:v>1103.5999999999999</x:v>
      </x:c>
      <x:c r="R15" s="37">
        <x:v>195.15</x:v>
      </x:c>
      <x:c r="S15" s="36" t="n">
        <x:f t="shared" si="0">IF(OR(B15="",N15=""),"",N15-B15)</x:f>
        <x:v>6</x:v>
      </x:c>
      <x:c r="T15" s="36" t="n">
        <x:f t="shared" ca="1" si="1">IF(P15="Cancelado","",IF(P15="Entregue",IF(O15="","",MAX(0,O15-N15)),MAX(0,TODAY()-N15)))</x:f>
        <x:v>63</x:v>
      </x:c>
      <x:c r="U15" s="12" t="str">
        <x:f t="shared" ca="1" si="2">IF(P15="Cancelado","Cancelado",IF(P15="Entregue",IF(T15&gt;0,"Entregue com atraso","Entregue no prazo"),IF(T15&gt;0,"Atrasado","Dentro do prazo")))</x:f>
        <x:v>Atrasado</x:v>
      </x:c>
      <x:c r="V15" s="37" t="n">
        <x:f t="shared" si="3">IF(OR(Q15="",R15=""),"",ROUND(Q15+R15,2))</x:f>
        <x:v>1298.75</x:v>
      </x:c>
      <x:c r="W15" s="37" t="n">
        <x:f t="shared" si="4">IF(OR(M15="",V15=""),"",ROUND(M15-V15,2))</x:f>
        <x:v>353.96</x:v>
      </x:c>
    </x:row>
    <x:row r="16">
      <x:c r="A16" s="12" t="s">
        <x:v>127</x:v>
      </x:c>
      <x:c r="B16" s="34">
        <x:v>46182</x:v>
      </x:c>
      <x:c r="C16" s="12" t="s">
        <x:v>128</x:v>
      </x:c>
      <x:c r="D16" s="12" t="s">
        <x:v>129</x:v>
      </x:c>
      <x:c r="E16" s="12" t="s">
        <x:v>130</x:v>
      </x:c>
      <x:c r="F16" s="12" t="s">
        <x:v>131</x:v>
      </x:c>
      <x:c r="G16" s="12" t="s">
        <x:v>132</x:v>
      </x:c>
      <x:c r="H16" s="12" t="s">
        <x:v>90</x:v>
      </x:c>
      <x:c r="I16" s="12">
        <x:v>6</x:v>
      </x:c>
      <x:c r="J16" s="37">
        <x:v>899.9</x:v>
      </x:c>
      <x:c r="K16" s="38">
        <x:v>0</x:v>
      </x:c>
      <x:c r="L16" s="37">
        <x:v>5399.4</x:v>
      </x:c>
      <x:c r="M16" s="37">
        <x:v>5399.4</x:v>
      </x:c>
      <x:c r="N16" s="34">
        <x:v>46195</x:v>
      </x:c>
      <x:c r="O16" s="35"/>
      <x:c r="P16" s="12" t="s">
        <x:v>29</x:v>
      </x:c>
      <x:c r="Q16" s="37">
        <x:v>4144.5200000000004</x:v>
      </x:c>
      <x:c r="R16" s="37">
        <x:v>260.85000000000002</x:v>
      </x:c>
      <x:c r="S16" s="36" t="n">
        <x:f t="shared" si="0">IF(OR(B16="",N16=""),"",N16-B16)</x:f>
        <x:v>13</x:v>
      </x:c>
      <x:c r="T16" s="36" t="str">
        <x:f t="shared" ca="1" si="1">IF(P16="Cancelado","",IF(P16="Entregue",IF(O16="","",MAX(0,O16-N16)),MAX(0,TODAY()-N16)))</x:f>
      </x:c>
      <x:c r="U16" s="12" t="str">
        <x:f t="shared" si="2">IF(P16="Cancelado","Cancelado",IF(P16="Entregue",IF(T16&gt;0,"Entregue com atraso","Entregue no prazo"),IF(T16&gt;0,"Atrasado","Dentro do prazo")))</x:f>
        <x:v>Cancelado</x:v>
      </x:c>
      <x:c r="V16" s="37" t="n">
        <x:f t="shared" si="3">IF(OR(Q16="",R16=""),"",ROUND(Q16+R16,2))</x:f>
        <x:v>4405.37</x:v>
      </x:c>
      <x:c r="W16" s="37" t="n">
        <x:f t="shared" si="4">IF(OR(M16="",V16=""),"",ROUND(M16-V16,2))</x:f>
        <x:v>994.03</x:v>
      </x:c>
    </x:row>
    <x:row r="17">
      <x:c r="A17" s="12" t="s">
        <x:v>133</x:v>
      </x:c>
      <x:c r="B17" s="34">
        <x:v>46180</x:v>
      </x:c>
      <x:c r="C17" s="12" t="s">
        <x:v>134</x:v>
      </x:c>
      <x:c r="D17" s="12" t="s">
        <x:v>135</x:v>
      </x:c>
      <x:c r="E17" s="12" t="s">
        <x:v>81</x:v>
      </x:c>
      <x:c r="F17" s="12" t="s">
        <x:v>111</x:v>
      </x:c>
      <x:c r="G17" s="12" t="s">
        <x:v>112</x:v>
      </x:c>
      <x:c r="H17" s="12" t="s">
        <x:v>113</x:v>
      </x:c>
      <x:c r="I17" s="12">
        <x:v>1</x:v>
      </x:c>
      <x:c r="J17" s="37">
        <x:v>599.9</x:v>
      </x:c>
      <x:c r="K17" s="38">
        <x:v>0</x:v>
      </x:c>
      <x:c r="L17" s="37">
        <x:v>599.9</x:v>
      </x:c>
      <x:c r="M17" s="37">
        <x:v>599.9</x:v>
      </x:c>
      <x:c r="N17" s="34">
        <x:v>46190</x:v>
      </x:c>
      <x:c r="O17" s="35"/>
      <x:c r="P17" s="12" t="s">
        <x:v>27</x:v>
      </x:c>
      <x:c r="Q17" s="37">
        <x:v>451.76</x:v>
      </x:c>
      <x:c r="R17" s="37">
        <x:v>117.27</x:v>
      </x:c>
      <x:c r="S17" s="36" t="n">
        <x:f t="shared" si="0">IF(OR(B17="",N17=""),"",N17-B17)</x:f>
        <x:v>10</x:v>
      </x:c>
      <x:c r="T17" s="36" t="n">
        <x:f t="shared" ca="1" si="1">IF(P17="Cancelado","",IF(P17="Entregue",IF(O17="","",MAX(0,O17-N17)),MAX(0,TODAY()-N17)))</x:f>
        <x:v>90</x:v>
      </x:c>
      <x:c r="U17" s="12" t="str">
        <x:f t="shared" ca="1" si="2">IF(P17="Cancelado","Cancelado",IF(P17="Entregue",IF(T17&gt;0,"Entregue com atraso","Entregue no prazo"),IF(T17&gt;0,"Atrasado","Dentro do prazo")))</x:f>
        <x:v>Atrasado</x:v>
      </x:c>
      <x:c r="V17" s="37" t="n">
        <x:f t="shared" si="3">IF(OR(Q17="",R17=""),"",ROUND(Q17+R17,2))</x:f>
        <x:v>569.03</x:v>
      </x:c>
      <x:c r="W17" s="37" t="n">
        <x:f t="shared" si="4">IF(OR(M17="",V17=""),"",ROUND(M17-V17,2))</x:f>
        <x:v>30.87</x:v>
      </x:c>
    </x:row>
    <x:row r="18">
      <x:c r="A18" s="12" t="s">
        <x:v>136</x:v>
      </x:c>
      <x:c r="B18" s="34">
        <x:v>46041</x:v>
      </x:c>
      <x:c r="C18" s="12" t="s">
        <x:v>137</x:v>
      </x:c>
      <x:c r="D18" s="12" t="s">
        <x:v>138</x:v>
      </x:c>
      <x:c r="E18" s="12" t="s">
        <x:v>59</x:v>
      </x:c>
      <x:c r="F18" s="12" t="s">
        <x:v>139</x:v>
      </x:c>
      <x:c r="G18" s="12" t="s">
        <x:v>140</x:v>
      </x:c>
      <x:c r="H18" s="12" t="s">
        <x:v>90</x:v>
      </x:c>
      <x:c r="I18" s="12">
        <x:v>2</x:v>
      </x:c>
      <x:c r="J18" s="37">
        <x:v>779.9</x:v>
      </x:c>
      <x:c r="K18" s="38">
        <x:v>0</x:v>
      </x:c>
      <x:c r="L18" s="37">
        <x:v>1559.8</x:v>
      </x:c>
      <x:c r="M18" s="37">
        <x:v>1559.8</x:v>
      </x:c>
      <x:c r="N18" s="34">
        <x:v>46053</x:v>
      </x:c>
      <x:c r="O18" s="35"/>
      <x:c r="P18" s="12" t="s">
        <x:v>27</x:v>
      </x:c>
      <x:c r="Q18" s="37">
        <x:v>1211.1500000000001</x:v>
      </x:c>
      <x:c r="R18" s="37">
        <x:v>170.19</x:v>
      </x:c>
      <x:c r="S18" s="36" t="n">
        <x:f t="shared" si="0">IF(OR(B18="",N18=""),"",N18-B18)</x:f>
        <x:v>12</x:v>
      </x:c>
      <x:c r="T18" s="36" t="n">
        <x:f t="shared" ca="1" si="1">IF(P18="Cancelado","",IF(P18="Entregue",IF(O18="","",MAX(0,O18-N18)),MAX(0,TODAY()-N18)))</x:f>
        <x:v>227</x:v>
      </x:c>
      <x:c r="U18" s="12" t="str">
        <x:f t="shared" ca="1" si="2">IF(P18="Cancelado","Cancelado",IF(P18="Entregue",IF(T18&gt;0,"Entregue com atraso","Entregue no prazo"),IF(T18&gt;0,"Atrasado","Dentro do prazo")))</x:f>
        <x:v>Atrasado</x:v>
      </x:c>
      <x:c r="V18" s="37" t="n">
        <x:f t="shared" si="3">IF(OR(Q18="",R18=""),"",ROUND(Q18+R18,2))</x:f>
        <x:v>1381.34</x:v>
      </x:c>
      <x:c r="W18" s="37" t="n">
        <x:f t="shared" si="4">IF(OR(M18="",V18=""),"",ROUND(M18-V18,2))</x:f>
        <x:v>178.46</x:v>
      </x:c>
    </x:row>
    <x:row r="19">
      <x:c r="A19" s="12" t="s">
        <x:v>141</x:v>
      </x:c>
      <x:c r="B19" s="34">
        <x:v>46059</x:v>
      </x:c>
      <x:c r="C19" s="12" t="s">
        <x:v>142</x:v>
      </x:c>
      <x:c r="D19" s="12" t="s">
        <x:v>143</x:v>
      </x:c>
      <x:c r="E19" s="12" t="s">
        <x:v>103</x:v>
      </x:c>
      <x:c r="F19" s="12" t="s">
        <x:v>111</x:v>
      </x:c>
      <x:c r="G19" s="12" t="s">
        <x:v>112</x:v>
      </x:c>
      <x:c r="H19" s="12" t="s">
        <x:v>113</x:v>
      </x:c>
      <x:c r="I19" s="12">
        <x:v>3</x:v>
      </x:c>
      <x:c r="J19" s="37">
        <x:v>599.9</x:v>
      </x:c>
      <x:c r="K19" s="38">
        <x:v>0</x:v>
      </x:c>
      <x:c r="L19" s="37">
        <x:v>1799.7</x:v>
      </x:c>
      <x:c r="M19" s="37">
        <x:v>1799.7</x:v>
      </x:c>
      <x:c r="N19" s="34">
        <x:v>46072</x:v>
      </x:c>
      <x:c r="O19" s="35"/>
      <x:c r="P19" s="12" t="s">
        <x:v>27</x:v>
      </x:c>
      <x:c r="Q19" s="37">
        <x:v>1237.6600000000001</x:v>
      </x:c>
      <x:c r="R19" s="37">
        <x:v>94.77</x:v>
      </x:c>
      <x:c r="S19" s="36" t="n">
        <x:f t="shared" si="0">IF(OR(B19="",N19=""),"",N19-B19)</x:f>
        <x:v>13</x:v>
      </x:c>
      <x:c r="T19" s="36" t="n">
        <x:f t="shared" ca="1" si="1">IF(P19="Cancelado","",IF(P19="Entregue",IF(O19="","",MAX(0,O19-N19)),MAX(0,TODAY()-N19)))</x:f>
        <x:v>208</x:v>
      </x:c>
      <x:c r="U19" s="12" t="str">
        <x:f t="shared" ca="1" si="2">IF(P19="Cancelado","Cancelado",IF(P19="Entregue",IF(T19&gt;0,"Entregue com atraso","Entregue no prazo"),IF(T19&gt;0,"Atrasado","Dentro do prazo")))</x:f>
        <x:v>Atrasado</x:v>
      </x:c>
      <x:c r="V19" s="37" t="n">
        <x:f t="shared" si="3">IF(OR(Q19="",R19=""),"",ROUND(Q19+R19,2))</x:f>
        <x:v>1332.43</x:v>
      </x:c>
      <x:c r="W19" s="37" t="n">
        <x:f t="shared" si="4">IF(OR(M19="",V19=""),"",ROUND(M19-V19,2))</x:f>
        <x:v>467.27</x:v>
      </x:c>
    </x:row>
    <x:row r="20">
      <x:c r="A20" s="12" t="s">
        <x:v>144</x:v>
      </x:c>
      <x:c r="B20" s="34">
        <x:v>46165</x:v>
      </x:c>
      <x:c r="C20" s="12" t="s">
        <x:v>145</x:v>
      </x:c>
      <x:c r="D20" s="12" t="s">
        <x:v>146</x:v>
      </x:c>
      <x:c r="E20" s="12" t="s">
        <x:v>130</x:v>
      </x:c>
      <x:c r="F20" s="12" t="s">
        <x:v>147</x:v>
      </x:c>
      <x:c r="G20" s="12" t="s">
        <x:v>148</x:v>
      </x:c>
      <x:c r="H20" s="12" t="s">
        <x:v>149</x:v>
      </x:c>
      <x:c r="I20" s="12">
        <x:v>5</x:v>
      </x:c>
      <x:c r="J20" s="37">
        <x:v>459.9</x:v>
      </x:c>
      <x:c r="K20" s="38">
        <x:v>0.03</x:v>
      </x:c>
      <x:c r="L20" s="37">
        <x:v>2299.5</x:v>
      </x:c>
      <x:c r="M20" s="37">
        <x:v>2230.5100000000002</x:v>
      </x:c>
      <x:c r="N20" s="34">
        <x:v>46180</x:v>
      </x:c>
      <x:c r="O20" s="34">
        <x:v>46182</x:v>
      </x:c>
      <x:c r="P20" s="12" t="s">
        <x:v>28</x:v>
      </x:c>
      <x:c r="Q20" s="37">
        <x:v>1703.97</x:v>
      </x:c>
      <x:c r="R20" s="37">
        <x:v>151.1</x:v>
      </x:c>
      <x:c r="S20" s="36" t="n">
        <x:f t="shared" si="0">IF(OR(B20="",N20=""),"",N20-B20)</x:f>
        <x:v>15</x:v>
      </x:c>
      <x:c r="T20" s="36" t="n">
        <x:f t="shared" ca="1" si="1">IF(P20="Cancelado","",IF(P20="Entregue",IF(O20="","",MAX(0,O20-N20)),MAX(0,TODAY()-N20)))</x:f>
        <x:v>2</x:v>
      </x:c>
      <x:c r="U20" s="12" t="str">
        <x:f t="shared" ca="1" si="2">IF(P20="Cancelado","Cancelado",IF(P20="Entregue",IF(T20&gt;0,"Entregue com atraso","Entregue no prazo"),IF(T20&gt;0,"Atrasado","Dentro do prazo")))</x:f>
        <x:v>Entregue com atraso</x:v>
      </x:c>
      <x:c r="V20" s="37" t="n">
        <x:f t="shared" si="3">IF(OR(Q20="",R20=""),"",ROUND(Q20+R20,2))</x:f>
        <x:v>1855.07</x:v>
      </x:c>
      <x:c r="W20" s="37" t="n">
        <x:f t="shared" si="4">IF(OR(M20="",V20=""),"",ROUND(M20-V20,2))</x:f>
        <x:v>375.44</x:v>
      </x:c>
    </x:row>
    <x:row r="21">
      <x:c r="A21" s="12" t="s">
        <x:v>150</x:v>
      </x:c>
      <x:c r="B21" s="34">
        <x:v>46090</x:v>
      </x:c>
      <x:c r="C21" s="12" t="s">
        <x:v>137</x:v>
      </x:c>
      <x:c r="D21" s="12" t="s">
        <x:v>138</x:v>
      </x:c>
      <x:c r="E21" s="12" t="s">
        <x:v>59</x:v>
      </x:c>
      <x:c r="F21" s="12" t="s">
        <x:v>151</x:v>
      </x:c>
      <x:c r="G21" s="12" t="s">
        <x:v>152</x:v>
      </x:c>
      <x:c r="H21" s="12" t="s">
        <x:v>62</x:v>
      </x:c>
      <x:c r="I21" s="12">
        <x:v>6</x:v>
      </x:c>
      <x:c r="J21" s="37">
        <x:v>989.9</x:v>
      </x:c>
      <x:c r="K21" s="38">
        <x:v>0</x:v>
      </x:c>
      <x:c r="L21" s="37">
        <x:v>5939.4</x:v>
      </x:c>
      <x:c r="M21" s="37">
        <x:v>5939.4</x:v>
      </x:c>
      <x:c r="N21" s="34">
        <x:v>46104</x:v>
      </x:c>
      <x:c r="O21" s="34">
        <x:v>46109</x:v>
      </x:c>
      <x:c r="P21" s="12" t="s">
        <x:v>28</x:v>
      </x:c>
      <x:c r="Q21" s="37">
        <x:v>3891.7</x:v>
      </x:c>
      <x:c r="R21" s="37">
        <x:v>61.68</x:v>
      </x:c>
      <x:c r="S21" s="36" t="n">
        <x:f t="shared" si="0">IF(OR(B21="",N21=""),"",N21-B21)</x:f>
        <x:v>14</x:v>
      </x:c>
      <x:c r="T21" s="36" t="n">
        <x:f t="shared" ca="1" si="1">IF(P21="Cancelado","",IF(P21="Entregue",IF(O21="","",MAX(0,O21-N21)),MAX(0,TODAY()-N21)))</x:f>
        <x:v>5</x:v>
      </x:c>
      <x:c r="U21" s="12" t="str">
        <x:f t="shared" ca="1" si="2">IF(P21="Cancelado","Cancelado",IF(P21="Entregue",IF(T21&gt;0,"Entregue com atraso","Entregue no prazo"),IF(T21&gt;0,"Atrasado","Dentro do prazo")))</x:f>
        <x:v>Entregue com atraso</x:v>
      </x:c>
      <x:c r="V21" s="37" t="n">
        <x:f t="shared" si="3">IF(OR(Q21="",R21=""),"",ROUND(Q21+R21,2))</x:f>
        <x:v>3953.38</x:v>
      </x:c>
      <x:c r="W21" s="37" t="n">
        <x:f t="shared" si="4">IF(OR(M21="",V21=""),"",ROUND(M21-V21,2))</x:f>
        <x:v>1986.02</x:v>
      </x:c>
    </x:row>
    <x:row r="22">
      <x:c r="A22" s="12" t="s">
        <x:v>153</x:v>
      </x:c>
      <x:c r="B22" s="34">
        <x:v>46188</x:v>
      </x:c>
      <x:c r="C22" s="12" t="s">
        <x:v>79</x:v>
      </x:c>
      <x:c r="D22" s="12" t="s">
        <x:v>80</x:v>
      </x:c>
      <x:c r="E22" s="12" t="s">
        <x:v>81</x:v>
      </x:c>
      <x:c r="F22" s="12" t="s">
        <x:v>82</x:v>
      </x:c>
      <x:c r="G22" s="12" t="s">
        <x:v>83</x:v>
      </x:c>
      <x:c r="H22" s="12" t="s">
        <x:v>84</x:v>
      </x:c>
      <x:c r="I22" s="12">
        <x:v>2</x:v>
      </x:c>
      <x:c r="J22" s="37">
        <x:v>729.9</x:v>
      </x:c>
      <x:c r="K22" s="38">
        <x:v>0</x:v>
      </x:c>
      <x:c r="L22" s="37">
        <x:v>1459.8</x:v>
      </x:c>
      <x:c r="M22" s="37">
        <x:v>1459.8</x:v>
      </x:c>
      <x:c r="N22" s="34">
        <x:v>46198</x:v>
      </x:c>
      <x:c r="O22" s="34">
        <x:v>46198</x:v>
      </x:c>
      <x:c r="P22" s="12" t="s">
        <x:v>28</x:v>
      </x:c>
      <x:c r="Q22" s="37">
        <x:v>970.12</x:v>
      </x:c>
      <x:c r="R22" s="37">
        <x:v>159.07</x:v>
      </x:c>
      <x:c r="S22" s="36" t="n">
        <x:f t="shared" si="0">IF(OR(B22="",N22=""),"",N22-B22)</x:f>
        <x:v>10</x:v>
      </x:c>
      <x:c r="T22" s="36" t="n">
        <x:f t="shared" ca="1" si="1">IF(P22="Cancelado","",IF(P22="Entregue",IF(O22="","",MAX(0,O22-N22)),MAX(0,TODAY()-N22)))</x:f>
        <x:v>0</x:v>
      </x:c>
      <x:c r="U22" s="12" t="str">
        <x:f t="shared" ca="1" si="2">IF(P22="Cancelado","Cancelado",IF(P22="Entregue",IF(T22&gt;0,"Entregue com atraso","Entregue no prazo"),IF(T22&gt;0,"Atrasado","Dentro do prazo")))</x:f>
        <x:v>Entregue no prazo</x:v>
      </x:c>
      <x:c r="V22" s="37" t="n">
        <x:f t="shared" si="3">IF(OR(Q22="",R22=""),"",ROUND(Q22+R22,2))</x:f>
        <x:v>1129.19</x:v>
      </x:c>
      <x:c r="W22" s="37" t="n">
        <x:f t="shared" si="4">IF(OR(M22="",V22=""),"",ROUND(M22-V22,2))</x:f>
        <x:v>330.61</x:v>
      </x:c>
    </x:row>
    <x:row r="23">
      <x:c r="A23" s="12" t="s">
        <x:v>154</x:v>
      </x:c>
      <x:c r="B23" s="34">
        <x:v>46165</x:v>
      </x:c>
      <x:c r="C23" s="12" t="s">
        <x:v>142</x:v>
      </x:c>
      <x:c r="D23" s="12" t="s">
        <x:v>143</x:v>
      </x:c>
      <x:c r="E23" s="12" t="s">
        <x:v>103</x:v>
      </x:c>
      <x:c r="F23" s="12" t="s">
        <x:v>139</x:v>
      </x:c>
      <x:c r="G23" s="12" t="s">
        <x:v>140</x:v>
      </x:c>
      <x:c r="H23" s="12" t="s">
        <x:v>90</x:v>
      </x:c>
      <x:c r="I23" s="12">
        <x:v>8</x:v>
      </x:c>
      <x:c r="J23" s="37">
        <x:v>779.9</x:v>
      </x:c>
      <x:c r="K23" s="38">
        <x:v>0</x:v>
      </x:c>
      <x:c r="L23" s="37">
        <x:v>6239.2</x:v>
      </x:c>
      <x:c r="M23" s="37">
        <x:v>6239.2</x:v>
      </x:c>
      <x:c r="N23" s="34">
        <x:v>46177</x:v>
      </x:c>
      <x:c r="O23" s="35"/>
      <x:c r="P23" s="12" t="s">
        <x:v>27</x:v>
      </x:c>
      <x:c r="Q23" s="37">
        <x:v>4058.38</x:v>
      </x:c>
      <x:c r="R23" s="37">
        <x:v>67.78</x:v>
      </x:c>
      <x:c r="S23" s="36" t="n">
        <x:f t="shared" si="0">IF(OR(B23="",N23=""),"",N23-B23)</x:f>
        <x:v>12</x:v>
      </x:c>
      <x:c r="T23" s="36" t="n">
        <x:f t="shared" ca="1" si="1">IF(P23="Cancelado","",IF(P23="Entregue",IF(O23="","",MAX(0,O23-N23)),MAX(0,TODAY()-N23)))</x:f>
        <x:v>103</x:v>
      </x:c>
      <x:c r="U23" s="12" t="str">
        <x:f t="shared" ca="1" si="2">IF(P23="Cancelado","Cancelado",IF(P23="Entregue",IF(T23&gt;0,"Entregue com atraso","Entregue no prazo"),IF(T23&gt;0,"Atrasado","Dentro do prazo")))</x:f>
        <x:v>Atrasado</x:v>
      </x:c>
      <x:c r="V23" s="37" t="n">
        <x:f t="shared" si="3">IF(OR(Q23="",R23=""),"",ROUND(Q23+R23,2))</x:f>
        <x:v>4126.16</x:v>
      </x:c>
      <x:c r="W23" s="37" t="n">
        <x:f t="shared" si="4">IF(OR(M23="",V23=""),"",ROUND(M23-V23,2))</x:f>
        <x:v>2113.04</x:v>
      </x:c>
    </x:row>
    <x:row r="24">
      <x:c r="A24" s="12" t="s">
        <x:v>155</x:v>
      </x:c>
      <x:c r="B24" s="34">
        <x:v>46137</x:v>
      </x:c>
      <x:c r="C24" s="12" t="s">
        <x:v>86</x:v>
      </x:c>
      <x:c r="D24" s="12" t="s">
        <x:v>87</x:v>
      </x:c>
      <x:c r="E24" s="12" t="s">
        <x:v>71</x:v>
      </x:c>
      <x:c r="F24" s="12" t="s">
        <x:v>156</x:v>
      </x:c>
      <x:c r="G24" s="12" t="s">
        <x:v>157</x:v>
      </x:c>
      <x:c r="H24" s="12" t="s">
        <x:v>74</x:v>
      </x:c>
      <x:c r="I24" s="12">
        <x:v>7</x:v>
      </x:c>
      <x:c r="J24" s="37">
        <x:v>849.9</x:v>
      </x:c>
      <x:c r="K24" s="38">
        <x:v>0.03</x:v>
      </x:c>
      <x:c r="L24" s="37">
        <x:v>5949.3</x:v>
      </x:c>
      <x:c r="M24" s="37">
        <x:v>5770.82</x:v>
      </x:c>
      <x:c r="N24" s="34">
        <x:v>46142</x:v>
      </x:c>
      <x:c r="O24" s="34">
        <x:v>46149</x:v>
      </x:c>
      <x:c r="P24" s="12" t="s">
        <x:v>28</x:v>
      </x:c>
      <x:c r="Q24" s="37">
        <x:v>3668.78</x:v>
      </x:c>
      <x:c r="R24" s="37">
        <x:v>139.62</x:v>
      </x:c>
      <x:c r="S24" s="36" t="n">
        <x:f t="shared" si="0">IF(OR(B24="",N24=""),"",N24-B24)</x:f>
        <x:v>5</x:v>
      </x:c>
      <x:c r="T24" s="36" t="n">
        <x:f t="shared" ca="1" si="1">IF(P24="Cancelado","",IF(P24="Entregue",IF(O24="","",MAX(0,O24-N24)),MAX(0,TODAY()-N24)))</x:f>
        <x:v>7</x:v>
      </x:c>
      <x:c r="U24" s="12" t="str">
        <x:f t="shared" ca="1" si="2">IF(P24="Cancelado","Cancelado",IF(P24="Entregue",IF(T24&gt;0,"Entregue com atraso","Entregue no prazo"),IF(T24&gt;0,"Atrasado","Dentro do prazo")))</x:f>
        <x:v>Entregue com atraso</x:v>
      </x:c>
      <x:c r="V24" s="37" t="n">
        <x:f t="shared" si="3">IF(OR(Q24="",R24=""),"",ROUND(Q24+R24,2))</x:f>
        <x:v>3808.4</x:v>
      </x:c>
      <x:c r="W24" s="37" t="n">
        <x:f t="shared" si="4">IF(OR(M24="",V24=""),"",ROUND(M24-V24,2))</x:f>
        <x:v>1962.42</x:v>
      </x:c>
    </x:row>
    <x:row r="25">
      <x:c r="A25" s="12" t="s">
        <x:v>158</x:v>
      </x:c>
      <x:c r="B25" s="34">
        <x:v>46113</x:v>
      </x:c>
      <x:c r="C25" s="12" t="s">
        <x:v>64</x:v>
      </x:c>
      <x:c r="D25" s="12" t="s">
        <x:v>65</x:v>
      </x:c>
      <x:c r="E25" s="12" t="s">
        <x:v>59</x:v>
      </x:c>
      <x:c r="F25" s="12" t="s">
        <x:v>159</x:v>
      </x:c>
      <x:c r="G25" s="12" t="s">
        <x:v>160</x:v>
      </x:c>
      <x:c r="H25" s="12" t="s">
        <x:v>62</x:v>
      </x:c>
      <x:c r="I25" s="12">
        <x:v>4</x:v>
      </x:c>
      <x:c r="J25" s="37">
        <x:v>329.9</x:v>
      </x:c>
      <x:c r="K25" s="38">
        <x:v>0</x:v>
      </x:c>
      <x:c r="L25" s="37">
        <x:v>1319.6</x:v>
      </x:c>
      <x:c r="M25" s="37">
        <x:v>1319.6</x:v>
      </x:c>
      <x:c r="N25" s="34">
        <x:v>46121</x:v>
      </x:c>
      <x:c r="O25" s="34">
        <x:v>46120</x:v>
      </x:c>
      <x:c r="P25" s="12" t="s">
        <x:v>28</x:v>
      </x:c>
      <x:c r="Q25" s="37">
        <x:v>907.23</x:v>
      </x:c>
      <x:c r="R25" s="37">
        <x:v>110.46</x:v>
      </x:c>
      <x:c r="S25" s="36" t="n">
        <x:f t="shared" si="0">IF(OR(B25="",N25=""),"",N25-B25)</x:f>
        <x:v>8</x:v>
      </x:c>
      <x:c r="T25" s="36" t="n">
        <x:f t="shared" ca="1" si="1">IF(P25="Cancelado","",IF(P25="Entregue",IF(O25="","",MAX(0,O25-N25)),MAX(0,TODAY()-N25)))</x:f>
        <x:v>0</x:v>
      </x:c>
      <x:c r="U25" s="12" t="str">
        <x:f t="shared" ca="1" si="2">IF(P25="Cancelado","Cancelado",IF(P25="Entregue",IF(T25&gt;0,"Entregue com atraso","Entregue no prazo"),IF(T25&gt;0,"Atrasado","Dentro do prazo")))</x:f>
        <x:v>Entregue no prazo</x:v>
      </x:c>
      <x:c r="V25" s="37" t="n">
        <x:f t="shared" si="3">IF(OR(Q25="",R25=""),"",ROUND(Q25+R25,2))</x:f>
        <x:v>1017.69</x:v>
      </x:c>
      <x:c r="W25" s="37" t="n">
        <x:f t="shared" si="4">IF(OR(M25="",V25=""),"",ROUND(M25-V25,2))</x:f>
        <x:v>301.91</x:v>
      </x:c>
    </x:row>
    <x:row r="26">
      <x:c r="A26" s="12" t="s">
        <x:v>161</x:v>
      </x:c>
      <x:c r="B26" s="34">
        <x:v>46090</x:v>
      </x:c>
      <x:c r="C26" s="12" t="s">
        <x:v>162</x:v>
      </x:c>
      <x:c r="D26" s="12" t="s">
        <x:v>163</x:v>
      </x:c>
      <x:c r="E26" s="12" t="s">
        <x:v>164</x:v>
      </x:c>
      <x:c r="F26" s="12" t="s">
        <x:v>151</x:v>
      </x:c>
      <x:c r="G26" s="12" t="s">
        <x:v>152</x:v>
      </x:c>
      <x:c r="H26" s="12" t="s">
        <x:v>62</x:v>
      </x:c>
      <x:c r="I26" s="12">
        <x:v>8</x:v>
      </x:c>
      <x:c r="J26" s="37">
        <x:v>989.9</x:v>
      </x:c>
      <x:c r="K26" s="38">
        <x:v>0.05</x:v>
      </x:c>
      <x:c r="L26" s="37">
        <x:v>7919.2</x:v>
      </x:c>
      <x:c r="M26" s="37">
        <x:v>7523.24</x:v>
      </x:c>
      <x:c r="N26" s="34">
        <x:v>46096</x:v>
      </x:c>
      <x:c r="O26" s="34">
        <x:v>46099</x:v>
      </x:c>
      <x:c r="P26" s="12" t="s">
        <x:v>28</x:v>
      </x:c>
      <x:c r="Q26" s="37">
        <x:v>5670.75</x:v>
      </x:c>
      <x:c r="R26" s="37">
        <x:v>272.70999999999998</x:v>
      </x:c>
      <x:c r="S26" s="36" t="n">
        <x:f t="shared" si="0">IF(OR(B26="",N26=""),"",N26-B26)</x:f>
        <x:v>6</x:v>
      </x:c>
      <x:c r="T26" s="36" t="n">
        <x:f t="shared" ca="1" si="1">IF(P26="Cancelado","",IF(P26="Entregue",IF(O26="","",MAX(0,O26-N26)),MAX(0,TODAY()-N26)))</x:f>
        <x:v>3</x:v>
      </x:c>
      <x:c r="U26" s="12" t="str">
        <x:f t="shared" ca="1" si="2">IF(P26="Cancelado","Cancelado",IF(P26="Entregue",IF(T26&gt;0,"Entregue com atraso","Entregue no prazo"),IF(T26&gt;0,"Atrasado","Dentro do prazo")))</x:f>
        <x:v>Entregue com atraso</x:v>
      </x:c>
      <x:c r="V26" s="37" t="n">
        <x:f t="shared" si="3">IF(OR(Q26="",R26=""),"",ROUND(Q26+R26,2))</x:f>
        <x:v>5943.46</x:v>
      </x:c>
      <x:c r="W26" s="37" t="n">
        <x:f t="shared" si="4">IF(OR(M26="",V26=""),"",ROUND(M26-V26,2))</x:f>
        <x:v>1579.78</x:v>
      </x:c>
    </x:row>
    <x:row r="27">
      <x:c r="A27" s="12" t="s">
        <x:v>165</x:v>
      </x:c>
      <x:c r="B27" s="34">
        <x:v>46219</x:v>
      </x:c>
      <x:c r="C27" s="12" t="s">
        <x:v>162</x:v>
      </x:c>
      <x:c r="D27" s="12" t="s">
        <x:v>163</x:v>
      </x:c>
      <x:c r="E27" s="12" t="s">
        <x:v>164</x:v>
      </x:c>
      <x:c r="F27" s="12" t="s">
        <x:v>82</x:v>
      </x:c>
      <x:c r="G27" s="12" t="s">
        <x:v>83</x:v>
      </x:c>
      <x:c r="H27" s="12" t="s">
        <x:v>84</x:v>
      </x:c>
      <x:c r="I27" s="12">
        <x:v>3</x:v>
      </x:c>
      <x:c r="J27" s="37">
        <x:v>729.9</x:v>
      </x:c>
      <x:c r="K27" s="38">
        <x:v>0.03</x:v>
      </x:c>
      <x:c r="L27" s="37">
        <x:v>2189.6999999999998</x:v>
      </x:c>
      <x:c r="M27" s="37">
        <x:v>2124.0100000000002</x:v>
      </x:c>
      <x:c r="N27" s="34">
        <x:v>46231</x:v>
      </x:c>
      <x:c r="O27" s="34">
        <x:v>46232</x:v>
      </x:c>
      <x:c r="P27" s="12" t="s">
        <x:v>28</x:v>
      </x:c>
      <x:c r="Q27" s="37">
        <x:v>1623.57</x:v>
      </x:c>
      <x:c r="R27" s="37">
        <x:v>83.69</x:v>
      </x:c>
      <x:c r="S27" s="36" t="n">
        <x:f t="shared" si="0">IF(OR(B27="",N27=""),"",N27-B27)</x:f>
        <x:v>12</x:v>
      </x:c>
      <x:c r="T27" s="36" t="n">
        <x:f t="shared" ca="1" si="1">IF(P27="Cancelado","",IF(P27="Entregue",IF(O27="","",MAX(0,O27-N27)),MAX(0,TODAY()-N27)))</x:f>
        <x:v>1</x:v>
      </x:c>
      <x:c r="U27" s="12" t="str">
        <x:f t="shared" ca="1" si="2">IF(P27="Cancelado","Cancelado",IF(P27="Entregue",IF(T27&gt;0,"Entregue com atraso","Entregue no prazo"),IF(T27&gt;0,"Atrasado","Dentro do prazo")))</x:f>
        <x:v>Entregue com atraso</x:v>
      </x:c>
      <x:c r="V27" s="37" t="n">
        <x:f t="shared" si="3">IF(OR(Q27="",R27=""),"",ROUND(Q27+R27,2))</x:f>
        <x:v>1707.26</x:v>
      </x:c>
      <x:c r="W27" s="37" t="n">
        <x:f t="shared" si="4">IF(OR(M27="",V27=""),"",ROUND(M27-V27,2))</x:f>
        <x:v>416.75</x:v>
      </x:c>
    </x:row>
    <x:row r="28">
      <x:c r="A28" s="12" t="s">
        <x:v>166</x:v>
      </x:c>
      <x:c r="B28" s="34">
        <x:v>46027</x:v>
      </x:c>
      <x:c r="C28" s="12" t="s">
        <x:v>115</x:v>
      </x:c>
      <x:c r="D28" s="12" t="s">
        <x:v>116</x:v>
      </x:c>
      <x:c r="E28" s="12" t="s">
        <x:v>117</x:v>
      </x:c>
      <x:c r="F28" s="12" t="s">
        <x:v>124</x:v>
      </x:c>
      <x:c r="G28" s="12" t="s">
        <x:v>125</x:v>
      </x:c>
      <x:c r="H28" s="12" t="s">
        <x:v>126</x:v>
      </x:c>
      <x:c r="I28" s="12">
        <x:v>8</x:v>
      </x:c>
      <x:c r="J28" s="37">
        <x:v>579.9</x:v>
      </x:c>
      <x:c r="K28" s="38">
        <x:v>0</x:v>
      </x:c>
      <x:c r="L28" s="37">
        <x:v>4639.2</x:v>
      </x:c>
      <x:c r="M28" s="37">
        <x:v>4639.2</x:v>
      </x:c>
      <x:c r="N28" s="34">
        <x:v>46038</x:v>
      </x:c>
      <x:c r="O28" s="34">
        <x:v>46041</x:v>
      </x:c>
      <x:c r="P28" s="12" t="s">
        <x:v>28</x:v>
      </x:c>
      <x:c r="Q28" s="37">
        <x:v>3367.59</x:v>
      </x:c>
      <x:c r="R28" s="37">
        <x:v>159.37</x:v>
      </x:c>
      <x:c r="S28" s="36" t="n">
        <x:f t="shared" si="0">IF(OR(B28="",N28=""),"",N28-B28)</x:f>
        <x:v>11</x:v>
      </x:c>
      <x:c r="T28" s="36" t="n">
        <x:f t="shared" ca="1" si="1">IF(P28="Cancelado","",IF(P28="Entregue",IF(O28="","",MAX(0,O28-N28)),MAX(0,TODAY()-N28)))</x:f>
        <x:v>3</x:v>
      </x:c>
      <x:c r="U28" s="12" t="str">
        <x:f t="shared" ca="1" si="2">IF(P28="Cancelado","Cancelado",IF(P28="Entregue",IF(T28&gt;0,"Entregue com atraso","Entregue no prazo"),IF(T28&gt;0,"Atrasado","Dentro do prazo")))</x:f>
        <x:v>Entregue com atraso</x:v>
      </x:c>
      <x:c r="V28" s="37" t="n">
        <x:f t="shared" si="3">IF(OR(Q28="",R28=""),"",ROUND(Q28+R28,2))</x:f>
        <x:v>3526.96</x:v>
      </x:c>
      <x:c r="W28" s="37" t="n">
        <x:f t="shared" si="4">IF(OR(M28="",V28=""),"",ROUND(M28-V28,2))</x:f>
        <x:v>1112.24</x:v>
      </x:c>
    </x:row>
    <x:row r="29">
      <x:c r="A29" s="12" t="s">
        <x:v>167</x:v>
      </x:c>
      <x:c r="B29" s="34">
        <x:v>46075</x:v>
      </x:c>
      <x:c r="C29" s="12" t="s">
        <x:v>168</x:v>
      </x:c>
      <x:c r="D29" s="12" t="s">
        <x:v>169</x:v>
      </x:c>
      <x:c r="E29" s="12" t="s">
        <x:v>164</x:v>
      </x:c>
      <x:c r="F29" s="12" t="s">
        <x:v>147</x:v>
      </x:c>
      <x:c r="G29" s="12" t="s">
        <x:v>148</x:v>
      </x:c>
      <x:c r="H29" s="12" t="s">
        <x:v>149</x:v>
      </x:c>
      <x:c r="I29" s="12">
        <x:v>1</x:v>
      </x:c>
      <x:c r="J29" s="37">
        <x:v>459.9</x:v>
      </x:c>
      <x:c r="K29" s="38">
        <x:v>0.05</x:v>
      </x:c>
      <x:c r="L29" s="37">
        <x:v>459.9</x:v>
      </x:c>
      <x:c r="M29" s="37">
        <x:v>436.9</x:v>
      </x:c>
      <x:c r="N29" s="34">
        <x:v>46088</x:v>
      </x:c>
      <x:c r="O29" s="34">
        <x:v>46088</x:v>
      </x:c>
      <x:c r="P29" s="12" t="s">
        <x:v>28</x:v>
      </x:c>
      <x:c r="Q29" s="37">
        <x:v>274.87</x:v>
      </x:c>
      <x:c r="R29" s="37">
        <x:v>182.28</x:v>
      </x:c>
      <x:c r="S29" s="36" t="n">
        <x:f t="shared" si="0">IF(OR(B29="",N29=""),"",N29-B29)</x:f>
        <x:v>13</x:v>
      </x:c>
      <x:c r="T29" s="36" t="n">
        <x:f t="shared" ca="1" si="1">IF(P29="Cancelado","",IF(P29="Entregue",IF(O29="","",MAX(0,O29-N29)),MAX(0,TODAY()-N29)))</x:f>
        <x:v>0</x:v>
      </x:c>
      <x:c r="U29" s="12" t="str">
        <x:f t="shared" ca="1" si="2">IF(P29="Cancelado","Cancelado",IF(P29="Entregue",IF(T29&gt;0,"Entregue com atraso","Entregue no prazo"),IF(T29&gt;0,"Atrasado","Dentro do prazo")))</x:f>
        <x:v>Entregue no prazo</x:v>
      </x:c>
      <x:c r="V29" s="37" t="n">
        <x:f t="shared" si="3">IF(OR(Q29="",R29=""),"",ROUND(Q29+R29,2))</x:f>
        <x:v>457.15</x:v>
      </x:c>
      <x:c r="W29" s="37" t="n">
        <x:f t="shared" si="4">IF(OR(M29="",V29=""),"",ROUND(M29-V29,2))</x:f>
        <x:v>-20.25</x:v>
      </x:c>
    </x:row>
    <x:row r="30">
      <x:c r="A30" s="12" t="s">
        <x:v>170</x:v>
      </x:c>
      <x:c r="B30" s="34">
        <x:v>46155</x:v>
      </x:c>
      <x:c r="C30" s="12" t="s">
        <x:v>171</x:v>
      </x:c>
      <x:c r="D30" s="12" t="s">
        <x:v>172</x:v>
      </x:c>
      <x:c r="E30" s="12" t="s">
        <x:v>71</x:v>
      </x:c>
      <x:c r="F30" s="12" t="s">
        <x:v>173</x:v>
      </x:c>
      <x:c r="G30" s="12" t="s">
        <x:v>174</x:v>
      </x:c>
      <x:c r="H30" s="12" t="s">
        <x:v>149</x:v>
      </x:c>
      <x:c r="I30" s="12">
        <x:v>3</x:v>
      </x:c>
      <x:c r="J30" s="37">
        <x:v>289.89999999999998</x:v>
      </x:c>
      <x:c r="K30" s="38">
        <x:v>0</x:v>
      </x:c>
      <x:c r="L30" s="37">
        <x:v>869.7</x:v>
      </x:c>
      <x:c r="M30" s="37">
        <x:v>869.7</x:v>
      </x:c>
      <x:c r="N30" s="34">
        <x:v>46168</x:v>
      </x:c>
      <x:c r="O30" s="34">
        <x:v>46167</x:v>
      </x:c>
      <x:c r="P30" s="12" t="s">
        <x:v>28</x:v>
      </x:c>
      <x:c r="Q30" s="37">
        <x:v>548.75</x:v>
      </x:c>
      <x:c r="R30" s="37">
        <x:v>60.97</x:v>
      </x:c>
      <x:c r="S30" s="36" t="n">
        <x:f t="shared" si="0">IF(OR(B30="",N30=""),"",N30-B30)</x:f>
        <x:v>13</x:v>
      </x:c>
      <x:c r="T30" s="36" t="n">
        <x:f t="shared" ca="1" si="1">IF(P30="Cancelado","",IF(P30="Entregue",IF(O30="","",MAX(0,O30-N30)),MAX(0,TODAY()-N30)))</x:f>
        <x:v>0</x:v>
      </x:c>
      <x:c r="U30" s="12" t="str">
        <x:f t="shared" ca="1" si="2">IF(P30="Cancelado","Cancelado",IF(P30="Entregue",IF(T30&gt;0,"Entregue com atraso","Entregue no prazo"),IF(T30&gt;0,"Atrasado","Dentro do prazo")))</x:f>
        <x:v>Entregue no prazo</x:v>
      </x:c>
      <x:c r="V30" s="37" t="n">
        <x:f t="shared" si="3">IF(OR(Q30="",R30=""),"",ROUND(Q30+R30,2))</x:f>
        <x:v>609.72</x:v>
      </x:c>
      <x:c r="W30" s="37" t="n">
        <x:f t="shared" si="4">IF(OR(M30="",V30=""),"",ROUND(M30-V30,2))</x:f>
        <x:v>259.98</x:v>
      </x:c>
    </x:row>
    <x:row r="31">
      <x:c r="A31" s="12" t="s">
        <x:v>175</x:v>
      </x:c>
      <x:c r="B31" s="34">
        <x:v>46247</x:v>
      </x:c>
      <x:c r="C31" s="12" t="s">
        <x:v>137</x:v>
      </x:c>
      <x:c r="D31" s="12" t="s">
        <x:v>138</x:v>
      </x:c>
      <x:c r="E31" s="12" t="s">
        <x:v>59</x:v>
      </x:c>
      <x:c r="F31" s="12" t="s">
        <x:v>72</x:v>
      </x:c>
      <x:c r="G31" s="12" t="s">
        <x:v>73</x:v>
      </x:c>
      <x:c r="H31" s="12" t="s">
        <x:v>74</x:v>
      </x:c>
      <x:c r="I31" s="12">
        <x:v>2</x:v>
      </x:c>
      <x:c r="J31" s="37">
        <x:v>1349.9</x:v>
      </x:c>
      <x:c r="K31" s="38">
        <x:v>0.05</x:v>
      </x:c>
      <x:c r="L31" s="37">
        <x:v>2699.8</x:v>
      </x:c>
      <x:c r="M31" s="37">
        <x:v>2564.81</x:v>
      </x:c>
      <x:c r="N31" s="34">
        <x:v>46255</x:v>
      </x:c>
      <x:c r="O31" s="34">
        <x:v>46252</x:v>
      </x:c>
      <x:c r="P31" s="12" t="s">
        <x:v>28</x:v>
      </x:c>
      <x:c r="Q31" s="37">
        <x:v>1844.36</x:v>
      </x:c>
      <x:c r="R31" s="37">
        <x:v>143.52000000000001</x:v>
      </x:c>
      <x:c r="S31" s="36" t="n">
        <x:f t="shared" si="0">IF(OR(B31="",N31=""),"",N31-B31)</x:f>
        <x:v>8</x:v>
      </x:c>
      <x:c r="T31" s="36" t="n">
        <x:f t="shared" ca="1" si="1">IF(P31="Cancelado","",IF(P31="Entregue",IF(O31="","",MAX(0,O31-N31)),MAX(0,TODAY()-N31)))</x:f>
        <x:v>0</x:v>
      </x:c>
      <x:c r="U31" s="12" t="str">
        <x:f t="shared" ca="1" si="2">IF(P31="Cancelado","Cancelado",IF(P31="Entregue",IF(T31&gt;0,"Entregue com atraso","Entregue no prazo"),IF(T31&gt;0,"Atrasado","Dentro do prazo")))</x:f>
        <x:v>Entregue no prazo</x:v>
      </x:c>
      <x:c r="V31" s="37" t="n">
        <x:f t="shared" si="3">IF(OR(Q31="",R31=""),"",ROUND(Q31+R31,2))</x:f>
        <x:v>1987.88</x:v>
      </x:c>
      <x:c r="W31" s="37" t="n">
        <x:f t="shared" si="4">IF(OR(M31="",V31=""),"",ROUND(M31-V31,2))</x:f>
        <x:v>576.93</x:v>
      </x:c>
    </x:row>
    <x:row r="32">
      <x:c r="A32" s="12" t="s">
        <x:v>176</x:v>
      </x:c>
      <x:c r="B32" s="34">
        <x:v>46176</x:v>
      </x:c>
      <x:c r="C32" s="12" t="s">
        <x:v>177</x:v>
      </x:c>
      <x:c r="D32" s="12" t="s">
        <x:v>178</x:v>
      </x:c>
      <x:c r="E32" s="12" t="s">
        <x:v>164</x:v>
      </x:c>
      <x:c r="F32" s="12" t="s">
        <x:v>173</x:v>
      </x:c>
      <x:c r="G32" s="12" t="s">
        <x:v>174</x:v>
      </x:c>
      <x:c r="H32" s="12" t="s">
        <x:v>149</x:v>
      </x:c>
      <x:c r="I32" s="12">
        <x:v>6</x:v>
      </x:c>
      <x:c r="J32" s="37">
        <x:v>289.89999999999998</x:v>
      </x:c>
      <x:c r="K32" s="38">
        <x:v>0</x:v>
      </x:c>
      <x:c r="L32" s="37">
        <x:v>1739.4</x:v>
      </x:c>
      <x:c r="M32" s="37">
        <x:v>1739.4</x:v>
      </x:c>
      <x:c r="N32" s="34">
        <x:v>46184</x:v>
      </x:c>
      <x:c r="O32" s="34">
        <x:v>46184</x:v>
      </x:c>
      <x:c r="P32" s="12" t="s">
        <x:v>28</x:v>
      </x:c>
      <x:c r="Q32" s="37">
        <x:v>1144.8599999999999</x:v>
      </x:c>
      <x:c r="R32" s="37">
        <x:v>138.01</x:v>
      </x:c>
      <x:c r="S32" s="36" t="n">
        <x:f t="shared" si="0">IF(OR(B32="",N32=""),"",N32-B32)</x:f>
        <x:v>8</x:v>
      </x:c>
      <x:c r="T32" s="36" t="n">
        <x:f t="shared" ca="1" si="1">IF(P32="Cancelado","",IF(P32="Entregue",IF(O32="","",MAX(0,O32-N32)),MAX(0,TODAY()-N32)))</x:f>
        <x:v>0</x:v>
      </x:c>
      <x:c r="U32" s="12" t="str">
        <x:f t="shared" ca="1" si="2">IF(P32="Cancelado","Cancelado",IF(P32="Entregue",IF(T32&gt;0,"Entregue com atraso","Entregue no prazo"),IF(T32&gt;0,"Atrasado","Dentro do prazo")))</x:f>
        <x:v>Entregue no prazo</x:v>
      </x:c>
      <x:c r="V32" s="37" t="n">
        <x:f t="shared" si="3">IF(OR(Q32="",R32=""),"",ROUND(Q32+R32,2))</x:f>
        <x:v>1282.87</x:v>
      </x:c>
      <x:c r="W32" s="37" t="n">
        <x:f t="shared" si="4">IF(OR(M32="",V32=""),"",ROUND(M32-V32,2))</x:f>
        <x:v>456.53</x:v>
      </x:c>
    </x:row>
    <x:row r="33">
      <x:c r="A33" s="12" t="s">
        <x:v>179</x:v>
      </x:c>
      <x:c r="B33" s="34">
        <x:v>46198</x:v>
      </x:c>
      <x:c r="C33" s="12" t="s">
        <x:v>180</x:v>
      </x:c>
      <x:c r="D33" s="12" t="s">
        <x:v>181</x:v>
      </x:c>
      <x:c r="E33" s="12" t="s">
        <x:v>71</x:v>
      </x:c>
      <x:c r="F33" s="12" t="s">
        <x:v>182</x:v>
      </x:c>
      <x:c r="G33" s="12" t="s">
        <x:v>183</x:v>
      </x:c>
      <x:c r="H33" s="12" t="s">
        <x:v>184</x:v>
      </x:c>
      <x:c r="I33" s="12">
        <x:v>8</x:v>
      </x:c>
      <x:c r="J33" s="37">
        <x:v>1099.9000000000001</x:v>
      </x:c>
      <x:c r="K33" s="38">
        <x:v>0</x:v>
      </x:c>
      <x:c r="L33" s="37">
        <x:v>8799.2000000000007</x:v>
      </x:c>
      <x:c r="M33" s="37">
        <x:v>8799.2000000000007</x:v>
      </x:c>
      <x:c r="N33" s="34">
        <x:v>46204</x:v>
      </x:c>
      <x:c r="O33" s="34">
        <x:v>46209</x:v>
      </x:c>
      <x:c r="P33" s="12" t="s">
        <x:v>28</x:v>
      </x:c>
      <x:c r="Q33" s="37">
        <x:v>6861.2</x:v>
      </x:c>
      <x:c r="R33" s="37">
        <x:v>279.08</x:v>
      </x:c>
      <x:c r="S33" s="36" t="n">
        <x:f t="shared" si="0">IF(OR(B33="",N33=""),"",N33-B33)</x:f>
        <x:v>6</x:v>
      </x:c>
      <x:c r="T33" s="36" t="n">
        <x:f t="shared" ca="1" si="1">IF(P33="Cancelado","",IF(P33="Entregue",IF(O33="","",MAX(0,O33-N33)),MAX(0,TODAY()-N33)))</x:f>
        <x:v>5</x:v>
      </x:c>
      <x:c r="U33" s="12" t="str">
        <x:f t="shared" ca="1" si="2">IF(P33="Cancelado","Cancelado",IF(P33="Entregue",IF(T33&gt;0,"Entregue com atraso","Entregue no prazo"),IF(T33&gt;0,"Atrasado","Dentro do prazo")))</x:f>
        <x:v>Entregue com atraso</x:v>
      </x:c>
      <x:c r="V33" s="37" t="n">
        <x:f t="shared" si="3">IF(OR(Q33="",R33=""),"",ROUND(Q33+R33,2))</x:f>
        <x:v>7140.28</x:v>
      </x:c>
      <x:c r="W33" s="37" t="n">
        <x:f t="shared" si="4">IF(OR(M33="",V33=""),"",ROUND(M33-V33,2))</x:f>
        <x:v>1658.92</x:v>
      </x:c>
    </x:row>
    <x:row r="34">
      <x:c r="A34" s="12" t="s">
        <x:v>185</x:v>
      </x:c>
      <x:c r="B34" s="34">
        <x:v>46045</x:v>
      </x:c>
      <x:c r="C34" s="12" t="s">
        <x:v>92</x:v>
      </x:c>
      <x:c r="D34" s="12" t="s">
        <x:v>93</x:v>
      </x:c>
      <x:c r="E34" s="12" t="s">
        <x:v>94</x:v>
      </x:c>
      <x:c r="F34" s="12" t="s">
        <x:v>147</x:v>
      </x:c>
      <x:c r="G34" s="12" t="s">
        <x:v>148</x:v>
      </x:c>
      <x:c r="H34" s="12" t="s">
        <x:v>149</x:v>
      </x:c>
      <x:c r="I34" s="12">
        <x:v>5</x:v>
      </x:c>
      <x:c r="J34" s="37">
        <x:v>459.9</x:v>
      </x:c>
      <x:c r="K34" s="38">
        <x:v>0</x:v>
      </x:c>
      <x:c r="L34" s="37">
        <x:v>2299.5</x:v>
      </x:c>
      <x:c r="M34" s="37">
        <x:v>2299.5</x:v>
      </x:c>
      <x:c r="N34" s="34">
        <x:v>46055</x:v>
      </x:c>
      <x:c r="O34" s="35"/>
      <x:c r="P34" s="12" t="s">
        <x:v>27</x:v>
      </x:c>
      <x:c r="Q34" s="37">
        <x:v>1749.19</x:v>
      </x:c>
      <x:c r="R34" s="37">
        <x:v>131.84</x:v>
      </x:c>
      <x:c r="S34" s="36" t="n">
        <x:f t="shared" ref="S34:S65" si="5">IF(OR(B34="",N34=""),"",N34-B34)</x:f>
        <x:v>10</x:v>
      </x:c>
      <x:c r="T34" s="36" t="n">
        <x:f t="shared" ref="T34:T65" ca="1" si="6">IF(P34="Cancelado","",IF(P34="Entregue",IF(O34="","",MAX(0,O34-N34)),MAX(0,TODAY()-N34)))</x:f>
        <x:v>225</x:v>
      </x:c>
      <x:c r="U34" s="12" t="str">
        <x:f t="shared" ref="U34:U65" ca="1" si="7">IF(P34="Cancelado","Cancelado",IF(P34="Entregue",IF(T34&gt;0,"Entregue com atraso","Entregue no prazo"),IF(T34&gt;0,"Atrasado","Dentro do prazo")))</x:f>
        <x:v>Atrasado</x:v>
      </x:c>
      <x:c r="V34" s="37" t="n">
        <x:f t="shared" ref="V34:V65" si="8">IF(OR(Q34="",R34=""),"",ROUND(Q34+R34,2))</x:f>
        <x:v>1881.03</x:v>
      </x:c>
      <x:c r="W34" s="37" t="n">
        <x:f t="shared" ref="W34:W65" si="9">IF(OR(M34="",V34=""),"",ROUND(M34-V34,2))</x:f>
        <x:v>418.47</x:v>
      </x:c>
    </x:row>
    <x:row r="35">
      <x:c r="A35" s="12" t="s">
        <x:v>186</x:v>
      </x:c>
      <x:c r="B35" s="34">
        <x:v>46067</x:v>
      </x:c>
      <x:c r="C35" s="12" t="s">
        <x:v>187</x:v>
      </x:c>
      <x:c r="D35" s="12" t="s">
        <x:v>188</x:v>
      </x:c>
      <x:c r="E35" s="12" t="s">
        <x:v>109</x:v>
      </x:c>
      <x:c r="F35" s="12" t="s">
        <x:v>76</x:v>
      </x:c>
      <x:c r="G35" s="12" t="s">
        <x:v>77</x:v>
      </x:c>
      <x:c r="H35" s="12" t="s">
        <x:v>62</x:v>
      </x:c>
      <x:c r="I35" s="12">
        <x:v>5</x:v>
      </x:c>
      <x:c r="J35" s="37">
        <x:v>689.9</x:v>
      </x:c>
      <x:c r="K35" s="38">
        <x:v>0.05</x:v>
      </x:c>
      <x:c r="L35" s="37">
        <x:v>3449.5</x:v>
      </x:c>
      <x:c r="M35" s="37">
        <x:v>3277.02</x:v>
      </x:c>
      <x:c r="N35" s="34">
        <x:v>46082</x:v>
      </x:c>
      <x:c r="O35" s="34">
        <x:v>46089</x:v>
      </x:c>
      <x:c r="P35" s="12" t="s">
        <x:v>28</x:v>
      </x:c>
      <x:c r="Q35" s="37">
        <x:v>2460.1799999999998</x:v>
      </x:c>
      <x:c r="R35" s="37">
        <x:v>115.35</x:v>
      </x:c>
      <x:c r="S35" s="36" t="n">
        <x:f t="shared" si="5">IF(OR(B35="",N35=""),"",N35-B35)</x:f>
        <x:v>15</x:v>
      </x:c>
      <x:c r="T35" s="36" t="n">
        <x:f t="shared" ca="1" si="6">IF(P35="Cancelado","",IF(P35="Entregue",IF(O35="","",MAX(0,O35-N35)),MAX(0,TODAY()-N35)))</x:f>
        <x:v>7</x:v>
      </x:c>
      <x:c r="U35" s="12" t="str">
        <x:f t="shared" ca="1" si="7">IF(P35="Cancelado","Cancelado",IF(P35="Entregue",IF(T35&gt;0,"Entregue com atraso","Entregue no prazo"),IF(T35&gt;0,"Atrasado","Dentro do prazo")))</x:f>
        <x:v>Entregue com atraso</x:v>
      </x:c>
      <x:c r="V35" s="37" t="n">
        <x:f t="shared" si="8">IF(OR(Q35="",R35=""),"",ROUND(Q35+R35,2))</x:f>
        <x:v>2575.53</x:v>
      </x:c>
      <x:c r="W35" s="37" t="n">
        <x:f t="shared" si="9">IF(OR(M35="",V35=""),"",ROUND(M35-V35,2))</x:f>
        <x:v>701.49</x:v>
      </x:c>
    </x:row>
    <x:row r="36">
      <x:c r="A36" s="12" t="s">
        <x:v>189</x:v>
      </x:c>
      <x:c r="B36" s="34">
        <x:v>46196</x:v>
      </x:c>
      <x:c r="C36" s="12" t="s">
        <x:v>119</x:v>
      </x:c>
      <x:c r="D36" s="12" t="s">
        <x:v>120</x:v>
      </x:c>
      <x:c r="E36" s="12" t="s">
        <x:v>117</x:v>
      </x:c>
      <x:c r="F36" s="12" t="s">
        <x:v>131</x:v>
      </x:c>
      <x:c r="G36" s="12" t="s">
        <x:v>132</x:v>
      </x:c>
      <x:c r="H36" s="12" t="s">
        <x:v>90</x:v>
      </x:c>
      <x:c r="I36" s="12">
        <x:v>5</x:v>
      </x:c>
      <x:c r="J36" s="37">
        <x:v>899.9</x:v>
      </x:c>
      <x:c r="K36" s="38">
        <x:v>0</x:v>
      </x:c>
      <x:c r="L36" s="37">
        <x:v>4499.5</x:v>
      </x:c>
      <x:c r="M36" s="37">
        <x:v>4499.5</x:v>
      </x:c>
      <x:c r="N36" s="34">
        <x:v>46202</x:v>
      </x:c>
      <x:c r="O36" s="34">
        <x:v>46201</x:v>
      </x:c>
      <x:c r="P36" s="12" t="s">
        <x:v>28</x:v>
      </x:c>
      <x:c r="Q36" s="37">
        <x:v>2985.76</x:v>
      </x:c>
      <x:c r="R36" s="37">
        <x:v>187.14</x:v>
      </x:c>
      <x:c r="S36" s="36" t="n">
        <x:f t="shared" si="5">IF(OR(B36="",N36=""),"",N36-B36)</x:f>
        <x:v>6</x:v>
      </x:c>
      <x:c r="T36" s="36" t="n">
        <x:f t="shared" ca="1" si="6">IF(P36="Cancelado","",IF(P36="Entregue",IF(O36="","",MAX(0,O36-N36)),MAX(0,TODAY()-N36)))</x:f>
        <x:v>0</x:v>
      </x:c>
      <x:c r="U36" s="12" t="str">
        <x:f t="shared" ca="1" si="7">IF(P36="Cancelado","Cancelado",IF(P36="Entregue",IF(T36&gt;0,"Entregue com atraso","Entregue no prazo"),IF(T36&gt;0,"Atrasado","Dentro do prazo")))</x:f>
        <x:v>Entregue no prazo</x:v>
      </x:c>
      <x:c r="V36" s="37" t="n">
        <x:f t="shared" si="8">IF(OR(Q36="",R36=""),"",ROUND(Q36+R36,2))</x:f>
        <x:v>3172.9</x:v>
      </x:c>
      <x:c r="W36" s="37" t="n">
        <x:f t="shared" si="9">IF(OR(M36="",V36=""),"",ROUND(M36-V36,2))</x:f>
        <x:v>1326.6</x:v>
      </x:c>
    </x:row>
    <x:row r="37">
      <x:c r="A37" s="12" t="s">
        <x:v>190</x:v>
      </x:c>
      <x:c r="B37" s="34">
        <x:v>46210</x:v>
      </x:c>
      <x:c r="C37" s="12" t="s">
        <x:v>134</x:v>
      </x:c>
      <x:c r="D37" s="12" t="s">
        <x:v>135</x:v>
      </x:c>
      <x:c r="E37" s="12" t="s">
        <x:v>81</x:v>
      </x:c>
      <x:c r="F37" s="12" t="s">
        <x:v>147</x:v>
      </x:c>
      <x:c r="G37" s="12" t="s">
        <x:v>148</x:v>
      </x:c>
      <x:c r="H37" s="12" t="s">
        <x:v>149</x:v>
      </x:c>
      <x:c r="I37" s="12">
        <x:v>5</x:v>
      </x:c>
      <x:c r="J37" s="37">
        <x:v>459.9</x:v>
      </x:c>
      <x:c r="K37" s="38">
        <x:v>0.05</x:v>
      </x:c>
      <x:c r="L37" s="37">
        <x:v>2299.5</x:v>
      </x:c>
      <x:c r="M37" s="37">
        <x:v>2184.5300000000002</x:v>
      </x:c>
      <x:c r="N37" s="34">
        <x:v>46222</x:v>
      </x:c>
      <x:c r="O37" s="34">
        <x:v>46219</x:v>
      </x:c>
      <x:c r="P37" s="12" t="s">
        <x:v>28</x:v>
      </x:c>
      <x:c r="Q37" s="37">
        <x:v>1386.67</x:v>
      </x:c>
      <x:c r="R37" s="37">
        <x:v>144.54</x:v>
      </x:c>
      <x:c r="S37" s="36" t="n">
        <x:f t="shared" si="5">IF(OR(B37="",N37=""),"",N37-B37)</x:f>
        <x:v>12</x:v>
      </x:c>
      <x:c r="T37" s="36" t="n">
        <x:f t="shared" ca="1" si="6">IF(P37="Cancelado","",IF(P37="Entregue",IF(O37="","",MAX(0,O37-N37)),MAX(0,TODAY()-N37)))</x:f>
        <x:v>0</x:v>
      </x:c>
      <x:c r="U37" s="12" t="str">
        <x:f t="shared" ca="1" si="7">IF(P37="Cancelado","Cancelado",IF(P37="Entregue",IF(T37&gt;0,"Entregue com atraso","Entregue no prazo"),IF(T37&gt;0,"Atrasado","Dentro do prazo")))</x:f>
        <x:v>Entregue no prazo</x:v>
      </x:c>
      <x:c r="V37" s="37" t="n">
        <x:f t="shared" si="8">IF(OR(Q37="",R37=""),"",ROUND(Q37+R37,2))</x:f>
        <x:v>1531.21</x:v>
      </x:c>
      <x:c r="W37" s="37" t="n">
        <x:f t="shared" si="9">IF(OR(M37="",V37=""),"",ROUND(M37-V37,2))</x:f>
        <x:v>653.32</x:v>
      </x:c>
    </x:row>
    <x:row r="38">
      <x:c r="A38" s="12" t="s">
        <x:v>191</x:v>
      </x:c>
      <x:c r="B38" s="34">
        <x:v>46097</x:v>
      </x:c>
      <x:c r="C38" s="12" t="s">
        <x:v>79</x:v>
      </x:c>
      <x:c r="D38" s="12" t="s">
        <x:v>80</x:v>
      </x:c>
      <x:c r="E38" s="12" t="s">
        <x:v>81</x:v>
      </x:c>
      <x:c r="F38" s="12" t="s">
        <x:v>66</x:v>
      </x:c>
      <x:c r="G38" s="12" t="s">
        <x:v>67</x:v>
      </x:c>
      <x:c r="H38" s="12" t="s">
        <x:v>62</x:v>
      </x:c>
      <x:c r="I38" s="12">
        <x:v>6</x:v>
      </x:c>
      <x:c r="J38" s="37">
        <x:v>389.9</x:v>
      </x:c>
      <x:c r="K38" s="38">
        <x:v>0</x:v>
      </x:c>
      <x:c r="L38" s="37">
        <x:v>2339.4</x:v>
      </x:c>
      <x:c r="M38" s="37">
        <x:v>2339.4</x:v>
      </x:c>
      <x:c r="N38" s="34">
        <x:v>46112</x:v>
      </x:c>
      <x:c r="O38" s="35"/>
      <x:c r="P38" s="12" t="s">
        <x:v>29</x:v>
      </x:c>
      <x:c r="Q38" s="37">
        <x:v>1510.91</x:v>
      </x:c>
      <x:c r="R38" s="37">
        <x:v>148.83000000000001</x:v>
      </x:c>
      <x:c r="S38" s="36" t="n">
        <x:f t="shared" si="5">IF(OR(B38="",N38=""),"",N38-B38)</x:f>
        <x:v>15</x:v>
      </x:c>
      <x:c r="T38" s="36" t="str">
        <x:f t="shared" ca="1" si="6">IF(P38="Cancelado","",IF(P38="Entregue",IF(O38="","",MAX(0,O38-N38)),MAX(0,TODAY()-N38)))</x:f>
      </x:c>
      <x:c r="U38" s="12" t="str">
        <x:f t="shared" si="7">IF(P38="Cancelado","Cancelado",IF(P38="Entregue",IF(T38&gt;0,"Entregue com atraso","Entregue no prazo"),IF(T38&gt;0,"Atrasado","Dentro do prazo")))</x:f>
        <x:v>Cancelado</x:v>
      </x:c>
      <x:c r="V38" s="37" t="n">
        <x:f t="shared" si="8">IF(OR(Q38="",R38=""),"",ROUND(Q38+R38,2))</x:f>
        <x:v>1659.74</x:v>
      </x:c>
      <x:c r="W38" s="37" t="n">
        <x:f t="shared" si="9">IF(OR(M38="",V38=""),"",ROUND(M38-V38,2))</x:f>
        <x:v>679.66</x:v>
      </x:c>
    </x:row>
    <x:row r="39">
      <x:c r="A39" s="12" t="s">
        <x:v>192</x:v>
      </x:c>
      <x:c r="B39" s="34">
        <x:v>46207</x:v>
      </x:c>
      <x:c r="C39" s="12" t="s">
        <x:v>193</x:v>
      </x:c>
      <x:c r="D39" s="12" t="s">
        <x:v>194</x:v>
      </x:c>
      <x:c r="E39" s="12" t="s">
        <x:v>103</x:v>
      </x:c>
      <x:c r="F39" s="12" t="s">
        <x:v>76</x:v>
      </x:c>
      <x:c r="G39" s="12" t="s">
        <x:v>77</x:v>
      </x:c>
      <x:c r="H39" s="12" t="s">
        <x:v>62</x:v>
      </x:c>
      <x:c r="I39" s="12">
        <x:v>1</x:v>
      </x:c>
      <x:c r="J39" s="37">
        <x:v>689.9</x:v>
      </x:c>
      <x:c r="K39" s="38">
        <x:v>0</x:v>
      </x:c>
      <x:c r="L39" s="37">
        <x:v>689.9</x:v>
      </x:c>
      <x:c r="M39" s="37">
        <x:v>689.9</x:v>
      </x:c>
      <x:c r="N39" s="34">
        <x:v>46213</x:v>
      </x:c>
      <x:c r="O39" s="35"/>
      <x:c r="P39" s="12" t="s">
        <x:v>27</x:v>
      </x:c>
      <x:c r="Q39" s="37">
        <x:v>504.02</x:v>
      </x:c>
      <x:c r="R39" s="37">
        <x:v>80.03</x:v>
      </x:c>
      <x:c r="S39" s="36" t="n">
        <x:f t="shared" si="5">IF(OR(B39="",N39=""),"",N39-B39)</x:f>
        <x:v>6</x:v>
      </x:c>
      <x:c r="T39" s="36" t="n">
        <x:f t="shared" ca="1" si="6">IF(P39="Cancelado","",IF(P39="Entregue",IF(O39="","",MAX(0,O39-N39)),MAX(0,TODAY()-N39)))</x:f>
        <x:v>67</x:v>
      </x:c>
      <x:c r="U39" s="12" t="str">
        <x:f t="shared" ca="1" si="7">IF(P39="Cancelado","Cancelado",IF(P39="Entregue",IF(T39&gt;0,"Entregue com atraso","Entregue no prazo"),IF(T39&gt;0,"Atrasado","Dentro do prazo")))</x:f>
        <x:v>Atrasado</x:v>
      </x:c>
      <x:c r="V39" s="37" t="n">
        <x:f t="shared" si="8">IF(OR(Q39="",R39=""),"",ROUND(Q39+R39,2))</x:f>
        <x:v>584.05</x:v>
      </x:c>
      <x:c r="W39" s="37" t="n">
        <x:f t="shared" si="9">IF(OR(M39="",V39=""),"",ROUND(M39-V39,2))</x:f>
        <x:v>105.85</x:v>
      </x:c>
    </x:row>
    <x:row r="40">
      <x:c r="A40" s="12" t="s">
        <x:v>195</x:v>
      </x:c>
      <x:c r="B40" s="34">
        <x:v>46036</x:v>
      </x:c>
      <x:c r="C40" s="12" t="s">
        <x:v>96</x:v>
      </x:c>
      <x:c r="D40" s="12" t="s">
        <x:v>97</x:v>
      </x:c>
      <x:c r="E40" s="12" t="s">
        <x:v>94</x:v>
      </x:c>
      <x:c r="F40" s="12" t="s">
        <x:v>196</x:v>
      </x:c>
      <x:c r="G40" s="12" t="s">
        <x:v>197</x:v>
      </x:c>
      <x:c r="H40" s="12" t="s">
        <x:v>74</x:v>
      </x:c>
      <x:c r="I40" s="12">
        <x:v>3</x:v>
      </x:c>
      <x:c r="J40" s="37">
        <x:v>1199.9000000000001</x:v>
      </x:c>
      <x:c r="K40" s="38">
        <x:v>0.03</x:v>
      </x:c>
      <x:c r="L40" s="37">
        <x:v>3599.7</x:v>
      </x:c>
      <x:c r="M40" s="37">
        <x:v>3491.71</x:v>
      </x:c>
      <x:c r="N40" s="34">
        <x:v>46043</x:v>
      </x:c>
      <x:c r="O40" s="34">
        <x:v>46043</x:v>
      </x:c>
      <x:c r="P40" s="12" t="s">
        <x:v>28</x:v>
      </x:c>
      <x:c r="Q40" s="37">
        <x:v>2667.1</x:v>
      </x:c>
      <x:c r="R40" s="37">
        <x:v>232.09</x:v>
      </x:c>
      <x:c r="S40" s="36" t="n">
        <x:f t="shared" si="5">IF(OR(B40="",N40=""),"",N40-B40)</x:f>
        <x:v>7</x:v>
      </x:c>
      <x:c r="T40" s="36" t="n">
        <x:f t="shared" ca="1" si="6">IF(P40="Cancelado","",IF(P40="Entregue",IF(O40="","",MAX(0,O40-N40)),MAX(0,TODAY()-N40)))</x:f>
        <x:v>0</x:v>
      </x:c>
      <x:c r="U40" s="12" t="str">
        <x:f t="shared" ca="1" si="7">IF(P40="Cancelado","Cancelado",IF(P40="Entregue",IF(T40&gt;0,"Entregue com atraso","Entregue no prazo"),IF(T40&gt;0,"Atrasado","Dentro do prazo")))</x:f>
        <x:v>Entregue no prazo</x:v>
      </x:c>
      <x:c r="V40" s="37" t="n">
        <x:f t="shared" si="8">IF(OR(Q40="",R40=""),"",ROUND(Q40+R40,2))</x:f>
        <x:v>2899.19</x:v>
      </x:c>
      <x:c r="W40" s="37" t="n">
        <x:f t="shared" si="9">IF(OR(M40="",V40=""),"",ROUND(M40-V40,2))</x:f>
        <x:v>592.52</x:v>
      </x:c>
    </x:row>
    <x:row r="41">
      <x:c r="A41" s="12" t="s">
        <x:v>198</x:v>
      </x:c>
      <x:c r="B41" s="34">
        <x:v>46247</x:v>
      </x:c>
      <x:c r="C41" s="12" t="s">
        <x:v>79</x:v>
      </x:c>
      <x:c r="D41" s="12" t="s">
        <x:v>80</x:v>
      </x:c>
      <x:c r="E41" s="12" t="s">
        <x:v>81</x:v>
      </x:c>
      <x:c r="F41" s="12" t="s">
        <x:v>196</x:v>
      </x:c>
      <x:c r="G41" s="12" t="s">
        <x:v>197</x:v>
      </x:c>
      <x:c r="H41" s="12" t="s">
        <x:v>74</x:v>
      </x:c>
      <x:c r="I41" s="12">
        <x:v>4</x:v>
      </x:c>
      <x:c r="J41" s="37">
        <x:v>1199.9000000000001</x:v>
      </x:c>
      <x:c r="K41" s="38">
        <x:v>0.08</x:v>
      </x:c>
      <x:c r="L41" s="37">
        <x:v>4799.6000000000004</x:v>
      </x:c>
      <x:c r="M41" s="37">
        <x:v>4415.63</x:v>
      </x:c>
      <x:c r="N41" s="34">
        <x:v>46255</x:v>
      </x:c>
      <x:c r="O41" s="34">
        <x:v>46255</x:v>
      </x:c>
      <x:c r="P41" s="12" t="s">
        <x:v>28</x:v>
      </x:c>
      <x:c r="Q41" s="37">
        <x:v>3288.84</x:v>
      </x:c>
      <x:c r="R41" s="37">
        <x:v>252.77</x:v>
      </x:c>
      <x:c r="S41" s="36" t="n">
        <x:f t="shared" si="5">IF(OR(B41="",N41=""),"",N41-B41)</x:f>
        <x:v>8</x:v>
      </x:c>
      <x:c r="T41" s="36" t="n">
        <x:f t="shared" ca="1" si="6">IF(P41="Cancelado","",IF(P41="Entregue",IF(O41="","",MAX(0,O41-N41)),MAX(0,TODAY()-N41)))</x:f>
        <x:v>0</x:v>
      </x:c>
      <x:c r="U41" s="12" t="str">
        <x:f t="shared" ca="1" si="7">IF(P41="Cancelado","Cancelado",IF(P41="Entregue",IF(T41&gt;0,"Entregue com atraso","Entregue no prazo"),IF(T41&gt;0,"Atrasado","Dentro do prazo")))</x:f>
        <x:v>Entregue no prazo</x:v>
      </x:c>
      <x:c r="V41" s="37" t="n">
        <x:f t="shared" si="8">IF(OR(Q41="",R41=""),"",ROUND(Q41+R41,2))</x:f>
        <x:v>3541.61</x:v>
      </x:c>
      <x:c r="W41" s="37" t="n">
        <x:f t="shared" si="9">IF(OR(M41="",V41=""),"",ROUND(M41-V41,2))</x:f>
        <x:v>874.02</x:v>
      </x:c>
    </x:row>
    <x:row r="42">
      <x:c r="A42" s="12" t="s">
        <x:v>199</x:v>
      </x:c>
      <x:c r="B42" s="34">
        <x:v>46131</x:v>
      </x:c>
      <x:c r="C42" s="12" t="s">
        <x:v>200</x:v>
      </x:c>
      <x:c r="D42" s="12" t="s">
        <x:v>201</x:v>
      </x:c>
      <x:c r="E42" s="12" t="s">
        <x:v>81</x:v>
      </x:c>
      <x:c r="F42" s="12" t="s">
        <x:v>131</x:v>
      </x:c>
      <x:c r="G42" s="12" t="s">
        <x:v>132</x:v>
      </x:c>
      <x:c r="H42" s="12" t="s">
        <x:v>90</x:v>
      </x:c>
      <x:c r="I42" s="12">
        <x:v>4</x:v>
      </x:c>
      <x:c r="J42" s="37">
        <x:v>899.9</x:v>
      </x:c>
      <x:c r="K42" s="38">
        <x:v>0</x:v>
      </x:c>
      <x:c r="L42" s="37">
        <x:v>3599.6</x:v>
      </x:c>
      <x:c r="M42" s="37">
        <x:v>3599.6</x:v>
      </x:c>
      <x:c r="N42" s="34">
        <x:v>46138</x:v>
      </x:c>
      <x:c r="O42" s="35"/>
      <x:c r="P42" s="12" t="s">
        <x:v>27</x:v>
      </x:c>
      <x:c r="Q42" s="37">
        <x:v>2246.0300000000002</x:v>
      </x:c>
      <x:c r="R42" s="37">
        <x:v>218.09</x:v>
      </x:c>
      <x:c r="S42" s="36" t="n">
        <x:f t="shared" si="5">IF(OR(B42="",N42=""),"",N42-B42)</x:f>
        <x:v>7</x:v>
      </x:c>
      <x:c r="T42" s="36" t="n">
        <x:f t="shared" ca="1" si="6">IF(P42="Cancelado","",IF(P42="Entregue",IF(O42="","",MAX(0,O42-N42)),MAX(0,TODAY()-N42)))</x:f>
        <x:v>142</x:v>
      </x:c>
      <x:c r="U42" s="12" t="str">
        <x:f t="shared" ca="1" si="7">IF(P42="Cancelado","Cancelado",IF(P42="Entregue",IF(T42&gt;0,"Entregue com atraso","Entregue no prazo"),IF(T42&gt;0,"Atrasado","Dentro do prazo")))</x:f>
        <x:v>Atrasado</x:v>
      </x:c>
      <x:c r="V42" s="37" t="n">
        <x:f t="shared" si="8">IF(OR(Q42="",R42=""),"",ROUND(Q42+R42,2))</x:f>
        <x:v>2464.12</x:v>
      </x:c>
      <x:c r="W42" s="37" t="n">
        <x:f t="shared" si="9">IF(OR(M42="",V42=""),"",ROUND(M42-V42,2))</x:f>
        <x:v>1135.48</x:v>
      </x:c>
    </x:row>
    <x:row r="43">
      <x:c r="A43" s="12" t="s">
        <x:v>202</x:v>
      </x:c>
      <x:c r="B43" s="34">
        <x:v>46112</x:v>
      </x:c>
      <x:c r="C43" s="12" t="s">
        <x:v>64</x:v>
      </x:c>
      <x:c r="D43" s="12" t="s">
        <x:v>65</x:v>
      </x:c>
      <x:c r="E43" s="12" t="s">
        <x:v>59</x:v>
      </x:c>
      <x:c r="F43" s="12" t="s">
        <x:v>156</x:v>
      </x:c>
      <x:c r="G43" s="12" t="s">
        <x:v>157</x:v>
      </x:c>
      <x:c r="H43" s="12" t="s">
        <x:v>74</x:v>
      </x:c>
      <x:c r="I43" s="12">
        <x:v>4</x:v>
      </x:c>
      <x:c r="J43" s="37">
        <x:v>849.9</x:v>
      </x:c>
      <x:c r="K43" s="38">
        <x:v>0</x:v>
      </x:c>
      <x:c r="L43" s="37">
        <x:v>3399.6</x:v>
      </x:c>
      <x:c r="M43" s="37">
        <x:v>3399.6</x:v>
      </x:c>
      <x:c r="N43" s="34">
        <x:v>46119</x:v>
      </x:c>
      <x:c r="O43" s="34">
        <x:v>46117</x:v>
      </x:c>
      <x:c r="P43" s="12" t="s">
        <x:v>28</x:v>
      </x:c>
      <x:c r="Q43" s="37">
        <x:v>2315.83</x:v>
      </x:c>
      <x:c r="R43" s="37">
        <x:v>54.1</x:v>
      </x:c>
      <x:c r="S43" s="36" t="n">
        <x:f t="shared" si="5">IF(OR(B43="",N43=""),"",N43-B43)</x:f>
        <x:v>7</x:v>
      </x:c>
      <x:c r="T43" s="36" t="n">
        <x:f t="shared" ca="1" si="6">IF(P43="Cancelado","",IF(P43="Entregue",IF(O43="","",MAX(0,O43-N43)),MAX(0,TODAY()-N43)))</x:f>
        <x:v>0</x:v>
      </x:c>
      <x:c r="U43" s="12" t="str">
        <x:f t="shared" ca="1" si="7">IF(P43="Cancelado","Cancelado",IF(P43="Entregue",IF(T43&gt;0,"Entregue com atraso","Entregue no prazo"),IF(T43&gt;0,"Atrasado","Dentro do prazo")))</x:f>
        <x:v>Entregue no prazo</x:v>
      </x:c>
      <x:c r="V43" s="37" t="n">
        <x:f t="shared" si="8">IF(OR(Q43="",R43=""),"",ROUND(Q43+R43,2))</x:f>
        <x:v>2369.93</x:v>
      </x:c>
      <x:c r="W43" s="37" t="n">
        <x:f t="shared" si="9">IF(OR(M43="",V43=""),"",ROUND(M43-V43,2))</x:f>
        <x:v>1029.67</x:v>
      </x:c>
    </x:row>
    <x:row r="44">
      <x:c r="A44" s="12" t="s">
        <x:v>203</x:v>
      </x:c>
      <x:c r="B44" s="34">
        <x:v>46147</x:v>
      </x:c>
      <x:c r="C44" s="12" t="s">
        <x:v>137</x:v>
      </x:c>
      <x:c r="D44" s="12" t="s">
        <x:v>138</x:v>
      </x:c>
      <x:c r="E44" s="12" t="s">
        <x:v>59</x:v>
      </x:c>
      <x:c r="F44" s="12" t="s">
        <x:v>147</x:v>
      </x:c>
      <x:c r="G44" s="12" t="s">
        <x:v>148</x:v>
      </x:c>
      <x:c r="H44" s="12" t="s">
        <x:v>149</x:v>
      </x:c>
      <x:c r="I44" s="12">
        <x:v>8</x:v>
      </x:c>
      <x:c r="J44" s="37">
        <x:v>459.9</x:v>
      </x:c>
      <x:c r="K44" s="38">
        <x:v>0</x:v>
      </x:c>
      <x:c r="L44" s="37">
        <x:v>3679.2</x:v>
      </x:c>
      <x:c r="M44" s="37">
        <x:v>3679.2</x:v>
      </x:c>
      <x:c r="N44" s="34">
        <x:v>46156</x:v>
      </x:c>
      <x:c r="O44" s="35"/>
      <x:c r="P44" s="12" t="s">
        <x:v>27</x:v>
      </x:c>
      <x:c r="Q44" s="37">
        <x:v>2794.03</x:v>
      </x:c>
      <x:c r="R44" s="37">
        <x:v>97.39</x:v>
      </x:c>
      <x:c r="S44" s="36" t="n">
        <x:f t="shared" si="5">IF(OR(B44="",N44=""),"",N44-B44)</x:f>
        <x:v>9</x:v>
      </x:c>
      <x:c r="T44" s="36" t="n">
        <x:f t="shared" ca="1" si="6">IF(P44="Cancelado","",IF(P44="Entregue",IF(O44="","",MAX(0,O44-N44)),MAX(0,TODAY()-N44)))</x:f>
        <x:v>124</x:v>
      </x:c>
      <x:c r="U44" s="12" t="str">
        <x:f t="shared" ca="1" si="7">IF(P44="Cancelado","Cancelado",IF(P44="Entregue",IF(T44&gt;0,"Entregue com atraso","Entregue no prazo"),IF(T44&gt;0,"Atrasado","Dentro do prazo")))</x:f>
        <x:v>Atrasado</x:v>
      </x:c>
      <x:c r="V44" s="37" t="n">
        <x:f t="shared" si="8">IF(OR(Q44="",R44=""),"",ROUND(Q44+R44,2))</x:f>
        <x:v>2891.42</x:v>
      </x:c>
      <x:c r="W44" s="37" t="n">
        <x:f t="shared" si="9">IF(OR(M44="",V44=""),"",ROUND(M44-V44,2))</x:f>
        <x:v>787.78</x:v>
      </x:c>
    </x:row>
    <x:row r="45">
      <x:c r="A45" s="12" t="s">
        <x:v>204</x:v>
      </x:c>
      <x:c r="B45" s="34">
        <x:v>46195</x:v>
      </x:c>
      <x:c r="C45" s="12" t="s">
        <x:v>128</x:v>
      </x:c>
      <x:c r="D45" s="12" t="s">
        <x:v>129</x:v>
      </x:c>
      <x:c r="E45" s="12" t="s">
        <x:v>130</x:v>
      </x:c>
      <x:c r="F45" s="12" t="s">
        <x:v>72</x:v>
      </x:c>
      <x:c r="G45" s="12" t="s">
        <x:v>73</x:v>
      </x:c>
      <x:c r="H45" s="12" t="s">
        <x:v>74</x:v>
      </x:c>
      <x:c r="I45" s="12">
        <x:v>6</x:v>
      </x:c>
      <x:c r="J45" s="37">
        <x:v>1349.9</x:v>
      </x:c>
      <x:c r="K45" s="38">
        <x:v>0</x:v>
      </x:c>
      <x:c r="L45" s="37">
        <x:v>8099.4</x:v>
      </x:c>
      <x:c r="M45" s="37">
        <x:v>8099.4</x:v>
      </x:c>
      <x:c r="N45" s="34">
        <x:v>46201</x:v>
      </x:c>
      <x:c r="O45" s="35"/>
      <x:c r="P45" s="12" t="s">
        <x:v>29</x:v>
      </x:c>
      <x:c r="Q45" s="37">
        <x:v>5383.35</x:v>
      </x:c>
      <x:c r="R45" s="37">
        <x:v>195.75</x:v>
      </x:c>
      <x:c r="S45" s="36" t="n">
        <x:f t="shared" si="5">IF(OR(B45="",N45=""),"",N45-B45)</x:f>
        <x:v>6</x:v>
      </x:c>
      <x:c r="T45" s="36" t="str">
        <x:f t="shared" ca="1" si="6">IF(P45="Cancelado","",IF(P45="Entregue",IF(O45="","",MAX(0,O45-N45)),MAX(0,TODAY()-N45)))</x:f>
      </x:c>
      <x:c r="U45" s="12" t="str">
        <x:f t="shared" si="7">IF(P45="Cancelado","Cancelado",IF(P45="Entregue",IF(T45&gt;0,"Entregue com atraso","Entregue no prazo"),IF(T45&gt;0,"Atrasado","Dentro do prazo")))</x:f>
        <x:v>Cancelado</x:v>
      </x:c>
      <x:c r="V45" s="37" t="n">
        <x:f t="shared" si="8">IF(OR(Q45="",R45=""),"",ROUND(Q45+R45,2))</x:f>
        <x:v>5579.1</x:v>
      </x:c>
      <x:c r="W45" s="37" t="n">
        <x:f t="shared" si="9">IF(OR(M45="",V45=""),"",ROUND(M45-V45,2))</x:f>
        <x:v>2520.3</x:v>
      </x:c>
    </x:row>
    <x:row r="46">
      <x:c r="A46" s="12" t="s">
        <x:v>205</x:v>
      </x:c>
      <x:c r="B46" s="34">
        <x:v>46129</x:v>
      </x:c>
      <x:c r="C46" s="12" t="s">
        <x:v>206</x:v>
      </x:c>
      <x:c r="D46" s="12" t="s">
        <x:v>207</x:v>
      </x:c>
      <x:c r="E46" s="12" t="s">
        <x:v>117</x:v>
      </x:c>
      <x:c r="F46" s="12" t="s">
        <x:v>76</x:v>
      </x:c>
      <x:c r="G46" s="12" t="s">
        <x:v>77</x:v>
      </x:c>
      <x:c r="H46" s="12" t="s">
        <x:v>62</x:v>
      </x:c>
      <x:c r="I46" s="12">
        <x:v>6</x:v>
      </x:c>
      <x:c r="J46" s="37">
        <x:v>689.9</x:v>
      </x:c>
      <x:c r="K46" s="38">
        <x:v>0</x:v>
      </x:c>
      <x:c r="L46" s="37">
        <x:v>4139.3999999999996</x:v>
      </x:c>
      <x:c r="M46" s="37">
        <x:v>4139.3999999999996</x:v>
      </x:c>
      <x:c r="N46" s="34">
        <x:v>46135</x:v>
      </x:c>
      <x:c r="O46" s="35"/>
      <x:c r="P46" s="12" t="s">
        <x:v>27</x:v>
      </x:c>
      <x:c r="Q46" s="37">
        <x:v>2739.43</x:v>
      </x:c>
      <x:c r="R46" s="37">
        <x:v>181.44</x:v>
      </x:c>
      <x:c r="S46" s="36" t="n">
        <x:f t="shared" si="5">IF(OR(B46="",N46=""),"",N46-B46)</x:f>
        <x:v>6</x:v>
      </x:c>
      <x:c r="T46" s="36" t="n">
        <x:f t="shared" ca="1" si="6">IF(P46="Cancelado","",IF(P46="Entregue",IF(O46="","",MAX(0,O46-N46)),MAX(0,TODAY()-N46)))</x:f>
        <x:v>145</x:v>
      </x:c>
      <x:c r="U46" s="12" t="str">
        <x:f t="shared" ca="1" si="7">IF(P46="Cancelado","Cancelado",IF(P46="Entregue",IF(T46&gt;0,"Entregue com atraso","Entregue no prazo"),IF(T46&gt;0,"Atrasado","Dentro do prazo")))</x:f>
        <x:v>Atrasado</x:v>
      </x:c>
      <x:c r="V46" s="37" t="n">
        <x:f t="shared" si="8">IF(OR(Q46="",R46=""),"",ROUND(Q46+R46,2))</x:f>
        <x:v>2920.87</x:v>
      </x:c>
      <x:c r="W46" s="37" t="n">
        <x:f t="shared" si="9">IF(OR(M46="",V46=""),"",ROUND(M46-V46,2))</x:f>
        <x:v>1218.53</x:v>
      </x:c>
    </x:row>
    <x:row r="47">
      <x:c r="A47" s="12" t="s">
        <x:v>208</x:v>
      </x:c>
      <x:c r="B47" s="34">
        <x:v>46094</x:v>
      </x:c>
      <x:c r="C47" s="12" t="s">
        <x:v>79</x:v>
      </x:c>
      <x:c r="D47" s="12" t="s">
        <x:v>80</x:v>
      </x:c>
      <x:c r="E47" s="12" t="s">
        <x:v>81</x:v>
      </x:c>
      <x:c r="F47" s="12" t="s">
        <x:v>159</x:v>
      </x:c>
      <x:c r="G47" s="12" t="s">
        <x:v>160</x:v>
      </x:c>
      <x:c r="H47" s="12" t="s">
        <x:v>62</x:v>
      </x:c>
      <x:c r="I47" s="12">
        <x:v>7</x:v>
      </x:c>
      <x:c r="J47" s="37">
        <x:v>329.9</x:v>
      </x:c>
      <x:c r="K47" s="38">
        <x:v>0</x:v>
      </x:c>
      <x:c r="L47" s="37">
        <x:v>2309.3000000000002</x:v>
      </x:c>
      <x:c r="M47" s="37">
        <x:v>2309.3000000000002</x:v>
      </x:c>
      <x:c r="N47" s="34">
        <x:v>46104</x:v>
      </x:c>
      <x:c r="O47" s="34">
        <x:v>46107</x:v>
      </x:c>
      <x:c r="P47" s="12" t="s">
        <x:v>28</x:v>
      </x:c>
      <x:c r="Q47" s="37">
        <x:v>1474.5</x:v>
      </x:c>
      <x:c r="R47" s="37">
        <x:v>256.38</x:v>
      </x:c>
      <x:c r="S47" s="36" t="n">
        <x:f t="shared" si="5">IF(OR(B47="",N47=""),"",N47-B47)</x:f>
        <x:v>10</x:v>
      </x:c>
      <x:c r="T47" s="36" t="n">
        <x:f t="shared" ca="1" si="6">IF(P47="Cancelado","",IF(P47="Entregue",IF(O47="","",MAX(0,O47-N47)),MAX(0,TODAY()-N47)))</x:f>
        <x:v>3</x:v>
      </x:c>
      <x:c r="U47" s="12" t="str">
        <x:f t="shared" ca="1" si="7">IF(P47="Cancelado","Cancelado",IF(P47="Entregue",IF(T47&gt;0,"Entregue com atraso","Entregue no prazo"),IF(T47&gt;0,"Atrasado","Dentro do prazo")))</x:f>
        <x:v>Entregue com atraso</x:v>
      </x:c>
      <x:c r="V47" s="37" t="n">
        <x:f t="shared" si="8">IF(OR(Q47="",R47=""),"",ROUND(Q47+R47,2))</x:f>
        <x:v>1730.88</x:v>
      </x:c>
      <x:c r="W47" s="37" t="n">
        <x:f t="shared" si="9">IF(OR(M47="",V47=""),"",ROUND(M47-V47,2))</x:f>
        <x:v>578.42</x:v>
      </x:c>
    </x:row>
    <x:row r="48">
      <x:c r="A48" s="12" t="s">
        <x:v>209</x:v>
      </x:c>
      <x:c r="B48" s="34">
        <x:v>46075</x:v>
      </x:c>
      <x:c r="C48" s="12" t="s">
        <x:v>210</x:v>
      </x:c>
      <x:c r="D48" s="12" t="s">
        <x:v>211</x:v>
      </x:c>
      <x:c r="E48" s="12" t="s">
        <x:v>94</x:v>
      </x:c>
      <x:c r="F48" s="12" t="s">
        <x:v>98</x:v>
      </x:c>
      <x:c r="G48" s="12" t="s">
        <x:v>99</x:v>
      </x:c>
      <x:c r="H48" s="12" t="s">
        <x:v>62</x:v>
      </x:c>
      <x:c r="I48" s="12">
        <x:v>7</x:v>
      </x:c>
      <x:c r="J48" s="37">
        <x:v>749.9</x:v>
      </x:c>
      <x:c r="K48" s="38">
        <x:v>0</x:v>
      </x:c>
      <x:c r="L48" s="37">
        <x:v>5249.3</x:v>
      </x:c>
      <x:c r="M48" s="37">
        <x:v>5249.3</x:v>
      </x:c>
      <x:c r="N48" s="34">
        <x:v>46088</x:v>
      </x:c>
      <x:c r="O48" s="35"/>
      <x:c r="P48" s="12" t="s">
        <x:v>27</x:v>
      </x:c>
      <x:c r="Q48" s="37">
        <x:v>3706.81</x:v>
      </x:c>
      <x:c r="R48" s="37">
        <x:v>214.07</x:v>
      </x:c>
      <x:c r="S48" s="36" t="n">
        <x:f t="shared" si="5">IF(OR(B48="",N48=""),"",N48-B48)</x:f>
        <x:v>13</x:v>
      </x:c>
      <x:c r="T48" s="36" t="n">
        <x:f t="shared" ca="1" si="6">IF(P48="Cancelado","",IF(P48="Entregue",IF(O48="","",MAX(0,O48-N48)),MAX(0,TODAY()-N48)))</x:f>
        <x:v>192</x:v>
      </x:c>
      <x:c r="U48" s="12" t="str">
        <x:f t="shared" ca="1" si="7">IF(P48="Cancelado","Cancelado",IF(P48="Entregue",IF(T48&gt;0,"Entregue com atraso","Entregue no prazo"),IF(T48&gt;0,"Atrasado","Dentro do prazo")))</x:f>
        <x:v>Atrasado</x:v>
      </x:c>
      <x:c r="V48" s="37" t="n">
        <x:f t="shared" si="8">IF(OR(Q48="",R48=""),"",ROUND(Q48+R48,2))</x:f>
        <x:v>3920.88</x:v>
      </x:c>
      <x:c r="W48" s="37" t="n">
        <x:f t="shared" si="9">IF(OR(M48="",V48=""),"",ROUND(M48-V48,2))</x:f>
        <x:v>1328.42</x:v>
      </x:c>
    </x:row>
    <x:row r="49">
      <x:c r="A49" s="12" t="s">
        <x:v>212</x:v>
      </x:c>
      <x:c r="B49" s="34">
        <x:v>46216</x:v>
      </x:c>
      <x:c r="C49" s="12" t="s">
        <x:v>107</x:v>
      </x:c>
      <x:c r="D49" s="12" t="s">
        <x:v>108</x:v>
      </x:c>
      <x:c r="E49" s="12" t="s">
        <x:v>109</x:v>
      </x:c>
      <x:c r="F49" s="12" t="s">
        <x:v>147</x:v>
      </x:c>
      <x:c r="G49" s="12" t="s">
        <x:v>148</x:v>
      </x:c>
      <x:c r="H49" s="12" t="s">
        <x:v>149</x:v>
      </x:c>
      <x:c r="I49" s="12">
        <x:v>6</x:v>
      </x:c>
      <x:c r="J49" s="37">
        <x:v>459.9</x:v>
      </x:c>
      <x:c r="K49" s="38">
        <x:v>0.03</x:v>
      </x:c>
      <x:c r="L49" s="37">
        <x:v>2759.4</x:v>
      </x:c>
      <x:c r="M49" s="37">
        <x:v>2676.62</x:v>
      </x:c>
      <x:c r="N49" s="34">
        <x:v>46222</x:v>
      </x:c>
      <x:c r="O49" s="35"/>
      <x:c r="P49" s="12" t="s">
        <x:v>27</x:v>
      </x:c>
      <x:c r="Q49" s="37">
        <x:v>2053.83</x:v>
      </x:c>
      <x:c r="R49" s="37">
        <x:v>191.44</x:v>
      </x:c>
      <x:c r="S49" s="36" t="n">
        <x:f t="shared" si="5">IF(OR(B49="",N49=""),"",N49-B49)</x:f>
        <x:v>6</x:v>
      </x:c>
      <x:c r="T49" s="36" t="n">
        <x:f t="shared" ca="1" si="6">IF(P49="Cancelado","",IF(P49="Entregue",IF(O49="","",MAX(0,O49-N49)),MAX(0,TODAY()-N49)))</x:f>
        <x:v>58</x:v>
      </x:c>
      <x:c r="U49" s="12" t="str">
        <x:f t="shared" ca="1" si="7">IF(P49="Cancelado","Cancelado",IF(P49="Entregue",IF(T49&gt;0,"Entregue com atraso","Entregue no prazo"),IF(T49&gt;0,"Atrasado","Dentro do prazo")))</x:f>
        <x:v>Atrasado</x:v>
      </x:c>
      <x:c r="V49" s="37" t="n">
        <x:f t="shared" si="8">IF(OR(Q49="",R49=""),"",ROUND(Q49+R49,2))</x:f>
        <x:v>2245.27</x:v>
      </x:c>
      <x:c r="W49" s="37" t="n">
        <x:f t="shared" si="9">IF(OR(M49="",V49=""),"",ROUND(M49-V49,2))</x:f>
        <x:v>431.35</x:v>
      </x:c>
    </x:row>
    <x:row r="50">
      <x:c r="A50" s="12" t="s">
        <x:v>213</x:v>
      </x:c>
      <x:c r="B50" s="34">
        <x:v>46196</x:v>
      </x:c>
      <x:c r="C50" s="12" t="s">
        <x:v>162</x:v>
      </x:c>
      <x:c r="D50" s="12" t="s">
        <x:v>163</x:v>
      </x:c>
      <x:c r="E50" s="12" t="s">
        <x:v>164</x:v>
      </x:c>
      <x:c r="F50" s="12" t="s">
        <x:v>159</x:v>
      </x:c>
      <x:c r="G50" s="12" t="s">
        <x:v>160</x:v>
      </x:c>
      <x:c r="H50" s="12" t="s">
        <x:v>62</x:v>
      </x:c>
      <x:c r="I50" s="12">
        <x:v>5</x:v>
      </x:c>
      <x:c r="J50" s="37">
        <x:v>329.9</x:v>
      </x:c>
      <x:c r="K50" s="38">
        <x:v>0.05</x:v>
      </x:c>
      <x:c r="L50" s="37">
        <x:v>1649.5</x:v>
      </x:c>
      <x:c r="M50" s="37">
        <x:v>1567.02</x:v>
      </x:c>
      <x:c r="N50" s="34">
        <x:v>46205</x:v>
      </x:c>
      <x:c r="O50" s="34">
        <x:v>46205</x:v>
      </x:c>
      <x:c r="P50" s="12" t="s">
        <x:v>28</x:v>
      </x:c>
      <x:c r="Q50" s="37">
        <x:v>1072.44</x:v>
      </x:c>
      <x:c r="R50" s="37">
        <x:v>114.48</x:v>
      </x:c>
      <x:c r="S50" s="36" t="n">
        <x:f t="shared" si="5">IF(OR(B50="",N50=""),"",N50-B50)</x:f>
        <x:v>9</x:v>
      </x:c>
      <x:c r="T50" s="36" t="n">
        <x:f t="shared" ca="1" si="6">IF(P50="Cancelado","",IF(P50="Entregue",IF(O50="","",MAX(0,O50-N50)),MAX(0,TODAY()-N50)))</x:f>
        <x:v>0</x:v>
      </x:c>
      <x:c r="U50" s="12" t="str">
        <x:f t="shared" ca="1" si="7">IF(P50="Cancelado","Cancelado",IF(P50="Entregue",IF(T50&gt;0,"Entregue com atraso","Entregue no prazo"),IF(T50&gt;0,"Atrasado","Dentro do prazo")))</x:f>
        <x:v>Entregue no prazo</x:v>
      </x:c>
      <x:c r="V50" s="37" t="n">
        <x:f t="shared" si="8">IF(OR(Q50="",R50=""),"",ROUND(Q50+R50,2))</x:f>
        <x:v>1186.92</x:v>
      </x:c>
      <x:c r="W50" s="37" t="n">
        <x:f t="shared" si="9">IF(OR(M50="",V50=""),"",ROUND(M50-V50,2))</x:f>
        <x:v>380.1</x:v>
      </x:c>
    </x:row>
    <x:row r="51">
      <x:c r="A51" s="12" t="s">
        <x:v>214</x:v>
      </x:c>
      <x:c r="B51" s="34">
        <x:v>46059</x:v>
      </x:c>
      <x:c r="C51" s="12" t="s">
        <x:v>128</x:v>
      </x:c>
      <x:c r="D51" s="12" t="s">
        <x:v>129</x:v>
      </x:c>
      <x:c r="E51" s="12" t="s">
        <x:v>130</x:v>
      </x:c>
      <x:c r="F51" s="12" t="s">
        <x:v>156</x:v>
      </x:c>
      <x:c r="G51" s="12" t="s">
        <x:v>157</x:v>
      </x:c>
      <x:c r="H51" s="12" t="s">
        <x:v>74</x:v>
      </x:c>
      <x:c r="I51" s="12">
        <x:v>7</x:v>
      </x:c>
      <x:c r="J51" s="37">
        <x:v>849.9</x:v>
      </x:c>
      <x:c r="K51" s="38">
        <x:v>0.08</x:v>
      </x:c>
      <x:c r="L51" s="37">
        <x:v>5949.3</x:v>
      </x:c>
      <x:c r="M51" s="37">
        <x:v>5473.36</x:v>
      </x:c>
      <x:c r="N51" s="34">
        <x:v>46066</x:v>
      </x:c>
      <x:c r="O51" s="34">
        <x:v>46066</x:v>
      </x:c>
      <x:c r="P51" s="12" t="s">
        <x:v>28</x:v>
      </x:c>
      <x:c r="Q51" s="37">
        <x:v>3749.1</x:v>
      </x:c>
      <x:c r="R51" s="37">
        <x:v>240.93</x:v>
      </x:c>
      <x:c r="S51" s="36" t="n">
        <x:f t="shared" si="5">IF(OR(B51="",N51=""),"",N51-B51)</x:f>
        <x:v>7</x:v>
      </x:c>
      <x:c r="T51" s="36" t="n">
        <x:f t="shared" ca="1" si="6">IF(P51="Cancelado","",IF(P51="Entregue",IF(O51="","",MAX(0,O51-N51)),MAX(0,TODAY()-N51)))</x:f>
        <x:v>0</x:v>
      </x:c>
      <x:c r="U51" s="12" t="str">
        <x:f t="shared" ca="1" si="7">IF(P51="Cancelado","Cancelado",IF(P51="Entregue",IF(T51&gt;0,"Entregue com atraso","Entregue no prazo"),IF(T51&gt;0,"Atrasado","Dentro do prazo")))</x:f>
        <x:v>Entregue no prazo</x:v>
      </x:c>
      <x:c r="V51" s="37" t="n">
        <x:f t="shared" si="8">IF(OR(Q51="",R51=""),"",ROUND(Q51+R51,2))</x:f>
        <x:v>3990.03</x:v>
      </x:c>
      <x:c r="W51" s="37" t="n">
        <x:f t="shared" si="9">IF(OR(M51="",V51=""),"",ROUND(M51-V51,2))</x:f>
        <x:v>1483.33</x:v>
      </x:c>
    </x:row>
    <x:row r="52">
      <x:c r="A52" s="12" t="s">
        <x:v>215</x:v>
      </x:c>
      <x:c r="B52" s="34">
        <x:v>46104</x:v>
      </x:c>
      <x:c r="C52" s="12" t="s">
        <x:v>168</x:v>
      </x:c>
      <x:c r="D52" s="12" t="s">
        <x:v>169</x:v>
      </x:c>
      <x:c r="E52" s="12" t="s">
        <x:v>164</x:v>
      </x:c>
      <x:c r="F52" s="12" t="s">
        <x:v>147</x:v>
      </x:c>
      <x:c r="G52" s="12" t="s">
        <x:v>148</x:v>
      </x:c>
      <x:c r="H52" s="12" t="s">
        <x:v>149</x:v>
      </x:c>
      <x:c r="I52" s="12">
        <x:v>7</x:v>
      </x:c>
      <x:c r="J52" s="37">
        <x:v>459.9</x:v>
      </x:c>
      <x:c r="K52" s="38">
        <x:v>0.05</x:v>
      </x:c>
      <x:c r="L52" s="37">
        <x:v>3219.3</x:v>
      </x:c>
      <x:c r="M52" s="37">
        <x:v>3058.34</x:v>
      </x:c>
      <x:c r="N52" s="34">
        <x:v>46118</x:v>
      </x:c>
      <x:c r="O52" s="34">
        <x:v>46120</x:v>
      </x:c>
      <x:c r="P52" s="12" t="s">
        <x:v>28</x:v>
      </x:c>
      <x:c r="Q52" s="37">
        <x:v>2112.35</x:v>
      </x:c>
      <x:c r="R52" s="37">
        <x:v>203.77</x:v>
      </x:c>
      <x:c r="S52" s="36" t="n">
        <x:f t="shared" si="5">IF(OR(B52="",N52=""),"",N52-B52)</x:f>
        <x:v>14</x:v>
      </x:c>
      <x:c r="T52" s="36" t="n">
        <x:f t="shared" ca="1" si="6">IF(P52="Cancelado","",IF(P52="Entregue",IF(O52="","",MAX(0,O52-N52)),MAX(0,TODAY()-N52)))</x:f>
        <x:v>2</x:v>
      </x:c>
      <x:c r="U52" s="12" t="str">
        <x:f t="shared" ca="1" si="7">IF(P52="Cancelado","Cancelado",IF(P52="Entregue",IF(T52&gt;0,"Entregue com atraso","Entregue no prazo"),IF(T52&gt;0,"Atrasado","Dentro do prazo")))</x:f>
        <x:v>Entregue com atraso</x:v>
      </x:c>
      <x:c r="V52" s="37" t="n">
        <x:f t="shared" si="8">IF(OR(Q52="",R52=""),"",ROUND(Q52+R52,2))</x:f>
        <x:v>2316.12</x:v>
      </x:c>
      <x:c r="W52" s="37" t="n">
        <x:f t="shared" si="9">IF(OR(M52="",V52=""),"",ROUND(M52-V52,2))</x:f>
        <x:v>742.22</x:v>
      </x:c>
    </x:row>
    <x:row r="53">
      <x:c r="A53" s="12" t="s">
        <x:v>216</x:v>
      </x:c>
      <x:c r="B53" s="34">
        <x:v>46157</x:v>
      </x:c>
      <x:c r="C53" s="12" t="s">
        <x:v>217</x:v>
      </x:c>
      <x:c r="D53" s="12" t="s">
        <x:v>218</x:v>
      </x:c>
      <x:c r="E53" s="12" t="s">
        <x:v>130</x:v>
      </x:c>
      <x:c r="F53" s="12" t="s">
        <x:v>88</x:v>
      </x:c>
      <x:c r="G53" s="12" t="s">
        <x:v>89</x:v>
      </x:c>
      <x:c r="H53" s="12" t="s">
        <x:v>90</x:v>
      </x:c>
      <x:c r="I53" s="12">
        <x:v>2</x:v>
      </x:c>
      <x:c r="J53" s="37">
        <x:v>649.9</x:v>
      </x:c>
      <x:c r="K53" s="38">
        <x:v>0</x:v>
      </x:c>
      <x:c r="L53" s="37">
        <x:v>1299.8</x:v>
      </x:c>
      <x:c r="M53" s="37">
        <x:v>1299.8</x:v>
      </x:c>
      <x:c r="N53" s="34">
        <x:v>46170</x:v>
      </x:c>
      <x:c r="O53" s="34">
        <x:v>46175</x:v>
      </x:c>
      <x:c r="P53" s="12" t="s">
        <x:v>28</x:v>
      </x:c>
      <x:c r="Q53" s="37">
        <x:v>875.58</x:v>
      </x:c>
      <x:c r="R53" s="37">
        <x:v>237.33</x:v>
      </x:c>
      <x:c r="S53" s="36" t="n">
        <x:f t="shared" si="5">IF(OR(B53="",N53=""),"",N53-B53)</x:f>
        <x:v>13</x:v>
      </x:c>
      <x:c r="T53" s="36" t="n">
        <x:f t="shared" ca="1" si="6">IF(P53="Cancelado","",IF(P53="Entregue",IF(O53="","",MAX(0,O53-N53)),MAX(0,TODAY()-N53)))</x:f>
        <x:v>5</x:v>
      </x:c>
      <x:c r="U53" s="12" t="str">
        <x:f t="shared" ca="1" si="7">IF(P53="Cancelado","Cancelado",IF(P53="Entregue",IF(T53&gt;0,"Entregue com atraso","Entregue no prazo"),IF(T53&gt;0,"Atrasado","Dentro do prazo")))</x:f>
        <x:v>Entregue com atraso</x:v>
      </x:c>
      <x:c r="V53" s="37" t="n">
        <x:f t="shared" si="8">IF(OR(Q53="",R53=""),"",ROUND(Q53+R53,2))</x:f>
        <x:v>1112.91</x:v>
      </x:c>
      <x:c r="W53" s="37" t="n">
        <x:f t="shared" si="9">IF(OR(M53="",V53=""),"",ROUND(M53-V53,2))</x:f>
        <x:v>186.89</x:v>
      </x:c>
    </x:row>
    <x:row r="54">
      <x:c r="A54" s="12" t="s">
        <x:v>219</x:v>
      </x:c>
      <x:c r="B54" s="34">
        <x:v>46219</x:v>
      </x:c>
      <x:c r="C54" s="12" t="s">
        <x:v>137</x:v>
      </x:c>
      <x:c r="D54" s="12" t="s">
        <x:v>138</x:v>
      </x:c>
      <x:c r="E54" s="12" t="s">
        <x:v>59</x:v>
      </x:c>
      <x:c r="F54" s="12" t="s">
        <x:v>182</x:v>
      </x:c>
      <x:c r="G54" s="12" t="s">
        <x:v>183</x:v>
      </x:c>
      <x:c r="H54" s="12" t="s">
        <x:v>184</x:v>
      </x:c>
      <x:c r="I54" s="12">
        <x:v>4</x:v>
      </x:c>
      <x:c r="J54" s="37">
        <x:v>1099.9000000000001</x:v>
      </x:c>
      <x:c r="K54" s="38">
        <x:v>0</x:v>
      </x:c>
      <x:c r="L54" s="37">
        <x:v>4399.6000000000004</x:v>
      </x:c>
      <x:c r="M54" s="37">
        <x:v>4399.6000000000004</x:v>
      </x:c>
      <x:c r="N54" s="34">
        <x:v>46226</x:v>
      </x:c>
      <x:c r="O54" s="34">
        <x:v>46226</x:v>
      </x:c>
      <x:c r="P54" s="12" t="s">
        <x:v>28</x:v>
      </x:c>
      <x:c r="Q54" s="37">
        <x:v>3420.38</x:v>
      </x:c>
      <x:c r="R54" s="37">
        <x:v>188.65</x:v>
      </x:c>
      <x:c r="S54" s="36" t="n">
        <x:f t="shared" si="5">IF(OR(B54="",N54=""),"",N54-B54)</x:f>
        <x:v>7</x:v>
      </x:c>
      <x:c r="T54" s="36" t="n">
        <x:f t="shared" ca="1" si="6">IF(P54="Cancelado","",IF(P54="Entregue",IF(O54="","",MAX(0,O54-N54)),MAX(0,TODAY()-N54)))</x:f>
        <x:v>0</x:v>
      </x:c>
      <x:c r="U54" s="12" t="str">
        <x:f t="shared" ca="1" si="7">IF(P54="Cancelado","Cancelado",IF(P54="Entregue",IF(T54&gt;0,"Entregue com atraso","Entregue no prazo"),IF(T54&gt;0,"Atrasado","Dentro do prazo")))</x:f>
        <x:v>Entregue no prazo</x:v>
      </x:c>
      <x:c r="V54" s="37" t="n">
        <x:f t="shared" si="8">IF(OR(Q54="",R54=""),"",ROUND(Q54+R54,2))</x:f>
        <x:v>3609.03</x:v>
      </x:c>
      <x:c r="W54" s="37" t="n">
        <x:f t="shared" si="9">IF(OR(M54="",V54=""),"",ROUND(M54-V54,2))</x:f>
        <x:v>790.57</x:v>
      </x:c>
    </x:row>
    <x:row r="55">
      <x:c r="A55" s="12" t="s">
        <x:v>220</x:v>
      </x:c>
      <x:c r="B55" s="34">
        <x:v>46223</x:v>
      </x:c>
      <x:c r="C55" s="12" t="s">
        <x:v>69</x:v>
      </x:c>
      <x:c r="D55" s="12" t="s">
        <x:v>70</x:v>
      </x:c>
      <x:c r="E55" s="12" t="s">
        <x:v>71</x:v>
      </x:c>
      <x:c r="F55" s="12" t="s">
        <x:v>221</x:v>
      </x:c>
      <x:c r="G55" s="12" t="s">
        <x:v>222</x:v>
      </x:c>
      <x:c r="H55" s="12" t="s">
        <x:v>113</x:v>
      </x:c>
      <x:c r="I55" s="12">
        <x:v>7</x:v>
      </x:c>
      <x:c r="J55" s="37">
        <x:v>499.9</x:v>
      </x:c>
      <x:c r="K55" s="38">
        <x:v>0.08</x:v>
      </x:c>
      <x:c r="L55" s="37">
        <x:v>3499.3</x:v>
      </x:c>
      <x:c r="M55" s="37">
        <x:v>3219.36</x:v>
      </x:c>
      <x:c r="N55" s="34">
        <x:v>46237</x:v>
      </x:c>
      <x:c r="O55" s="34">
        <x:v>46238</x:v>
      </x:c>
      <x:c r="P55" s="12" t="s">
        <x:v>28</x:v>
      </x:c>
      <x:c r="Q55" s="37">
        <x:v>2250.66</x:v>
      </x:c>
      <x:c r="R55" s="37">
        <x:v>102.34</x:v>
      </x:c>
      <x:c r="S55" s="36" t="n">
        <x:f t="shared" si="5">IF(OR(B55="",N55=""),"",N55-B55)</x:f>
        <x:v>14</x:v>
      </x:c>
      <x:c r="T55" s="36" t="n">
        <x:f t="shared" ca="1" si="6">IF(P55="Cancelado","",IF(P55="Entregue",IF(O55="","",MAX(0,O55-N55)),MAX(0,TODAY()-N55)))</x:f>
        <x:v>1</x:v>
      </x:c>
      <x:c r="U55" s="12" t="str">
        <x:f t="shared" ca="1" si="7">IF(P55="Cancelado","Cancelado",IF(P55="Entregue",IF(T55&gt;0,"Entregue com atraso","Entregue no prazo"),IF(T55&gt;0,"Atrasado","Dentro do prazo")))</x:f>
        <x:v>Entregue com atraso</x:v>
      </x:c>
      <x:c r="V55" s="37" t="n">
        <x:f t="shared" si="8">IF(OR(Q55="",R55=""),"",ROUND(Q55+R55,2))</x:f>
        <x:v>2353</x:v>
      </x:c>
      <x:c r="W55" s="37" t="n">
        <x:f t="shared" si="9">IF(OR(M55="",V55=""),"",ROUND(M55-V55,2))</x:f>
        <x:v>866.36</x:v>
      </x:c>
    </x:row>
    <x:row r="56">
      <x:c r="A56" s="12" t="s">
        <x:v>223</x:v>
      </x:c>
      <x:c r="B56" s="34">
        <x:v>46194</x:v>
      </x:c>
      <x:c r="C56" s="12" t="s">
        <x:v>101</x:v>
      </x:c>
      <x:c r="D56" s="12" t="s">
        <x:v>102</x:v>
      </x:c>
      <x:c r="E56" s="12" t="s">
        <x:v>103</x:v>
      </x:c>
      <x:c r="F56" s="12" t="s">
        <x:v>66</x:v>
      </x:c>
      <x:c r="G56" s="12" t="s">
        <x:v>67</x:v>
      </x:c>
      <x:c r="H56" s="12" t="s">
        <x:v>62</x:v>
      </x:c>
      <x:c r="I56" s="12">
        <x:v>2</x:v>
      </x:c>
      <x:c r="J56" s="37">
        <x:v>389.9</x:v>
      </x:c>
      <x:c r="K56" s="38">
        <x:v>0.03</x:v>
      </x:c>
      <x:c r="L56" s="37">
        <x:v>779.8</x:v>
      </x:c>
      <x:c r="M56" s="37">
        <x:v>756.41</x:v>
      </x:c>
      <x:c r="N56" s="34">
        <x:v>46202</x:v>
      </x:c>
      <x:c r="O56" s="34">
        <x:v>46205</x:v>
      </x:c>
      <x:c r="P56" s="12" t="s">
        <x:v>28</x:v>
      </x:c>
      <x:c r="Q56" s="37">
        <x:v>525.20000000000005</x:v>
      </x:c>
      <x:c r="R56" s="37">
        <x:v>175.99</x:v>
      </x:c>
      <x:c r="S56" s="36" t="n">
        <x:f t="shared" si="5">IF(OR(B56="",N56=""),"",N56-B56)</x:f>
        <x:v>8</x:v>
      </x:c>
      <x:c r="T56" s="36" t="n">
        <x:f t="shared" ca="1" si="6">IF(P56="Cancelado","",IF(P56="Entregue",IF(O56="","",MAX(0,O56-N56)),MAX(0,TODAY()-N56)))</x:f>
        <x:v>3</x:v>
      </x:c>
      <x:c r="U56" s="12" t="str">
        <x:f t="shared" ca="1" si="7">IF(P56="Cancelado","Cancelado",IF(P56="Entregue",IF(T56&gt;0,"Entregue com atraso","Entregue no prazo"),IF(T56&gt;0,"Atrasado","Dentro do prazo")))</x:f>
        <x:v>Entregue com atraso</x:v>
      </x:c>
      <x:c r="V56" s="37" t="n">
        <x:f t="shared" si="8">IF(OR(Q56="",R56=""),"",ROUND(Q56+R56,2))</x:f>
        <x:v>701.19</x:v>
      </x:c>
      <x:c r="W56" s="37" t="n">
        <x:f t="shared" si="9">IF(OR(M56="",V56=""),"",ROUND(M56-V56,2))</x:f>
        <x:v>55.22</x:v>
      </x:c>
    </x:row>
    <x:row r="57">
      <x:c r="A57" s="12" t="s">
        <x:v>224</x:v>
      </x:c>
      <x:c r="B57" s="34">
        <x:v>46261</x:v>
      </x:c>
      <x:c r="C57" s="12" t="s">
        <x:v>162</x:v>
      </x:c>
      <x:c r="D57" s="12" t="s">
        <x:v>163</x:v>
      </x:c>
      <x:c r="E57" s="12" t="s">
        <x:v>164</x:v>
      </x:c>
      <x:c r="F57" s="12" t="s">
        <x:v>159</x:v>
      </x:c>
      <x:c r="G57" s="12" t="s">
        <x:v>160</x:v>
      </x:c>
      <x:c r="H57" s="12" t="s">
        <x:v>62</x:v>
      </x:c>
      <x:c r="I57" s="12">
        <x:v>8</x:v>
      </x:c>
      <x:c r="J57" s="37">
        <x:v>329.9</x:v>
      </x:c>
      <x:c r="K57" s="38">
        <x:v>0</x:v>
      </x:c>
      <x:c r="L57" s="37">
        <x:v>2639.2</x:v>
      </x:c>
      <x:c r="M57" s="37">
        <x:v>2639.2</x:v>
      </x:c>
      <x:c r="N57" s="34">
        <x:v>46273</x:v>
      </x:c>
      <x:c r="O57" s="35"/>
      <x:c r="P57" s="12" t="s">
        <x:v>25</x:v>
      </x:c>
      <x:c r="Q57" s="37">
        <x:v>2053.46</x:v>
      </x:c>
      <x:c r="R57" s="37">
        <x:v>184.93</x:v>
      </x:c>
      <x:c r="S57" s="36" t="n">
        <x:f t="shared" si="5">IF(OR(B57="",N57=""),"",N57-B57)</x:f>
        <x:v>12</x:v>
      </x:c>
      <x:c r="T57" s="36" t="n">
        <x:f t="shared" ca="1" si="6">IF(P57="Cancelado","",IF(P57="Entregue",IF(O57="","",MAX(0,O57-N57)),MAX(0,TODAY()-N57)))</x:f>
        <x:v>7</x:v>
      </x:c>
      <x:c r="U57" s="12" t="str">
        <x:f t="shared" ca="1" si="7">IF(P57="Cancelado","Cancelado",IF(P57="Entregue",IF(T57&gt;0,"Entregue com atraso","Entregue no prazo"),IF(T57&gt;0,"Atrasado","Dentro do prazo")))</x:f>
        <x:v>Atrasado</x:v>
      </x:c>
      <x:c r="V57" s="37" t="n">
        <x:f t="shared" si="8">IF(OR(Q57="",R57=""),"",ROUND(Q57+R57,2))</x:f>
        <x:v>2238.39</x:v>
      </x:c>
      <x:c r="W57" s="37" t="n">
        <x:f t="shared" si="9">IF(OR(M57="",V57=""),"",ROUND(M57-V57,2))</x:f>
        <x:v>400.81</x:v>
      </x:c>
    </x:row>
    <x:row r="58">
      <x:c r="A58" s="12" t="s">
        <x:v>225</x:v>
      </x:c>
      <x:c r="B58" s="34">
        <x:v>46220</x:v>
      </x:c>
      <x:c r="C58" s="12" t="s">
        <x:v>122</x:v>
      </x:c>
      <x:c r="D58" s="12" t="s">
        <x:v>123</x:v>
      </x:c>
      <x:c r="E58" s="12" t="s">
        <x:v>81</x:v>
      </x:c>
      <x:c r="F58" s="12" t="s">
        <x:v>221</x:v>
      </x:c>
      <x:c r="G58" s="12" t="s">
        <x:v>222</x:v>
      </x:c>
      <x:c r="H58" s="12" t="s">
        <x:v>113</x:v>
      </x:c>
      <x:c r="I58" s="12">
        <x:v>7</x:v>
      </x:c>
      <x:c r="J58" s="37">
        <x:v>499.9</x:v>
      </x:c>
      <x:c r="K58" s="38">
        <x:v>0.05</x:v>
      </x:c>
      <x:c r="L58" s="37">
        <x:v>3499.3</x:v>
      </x:c>
      <x:c r="M58" s="37">
        <x:v>3324.34</x:v>
      </x:c>
      <x:c r="N58" s="34">
        <x:v>46232</x:v>
      </x:c>
      <x:c r="O58" s="35"/>
      <x:c r="P58" s="12" t="s">
        <x:v>27</x:v>
      </x:c>
      <x:c r="Q58" s="37">
        <x:v>2456.64</x:v>
      </x:c>
      <x:c r="R58" s="37">
        <x:v>156.55000000000001</x:v>
      </x:c>
      <x:c r="S58" s="36" t="n">
        <x:f t="shared" si="5">IF(OR(B58="",N58=""),"",N58-B58)</x:f>
        <x:v>12</x:v>
      </x:c>
      <x:c r="T58" s="36" t="n">
        <x:f t="shared" ca="1" si="6">IF(P58="Cancelado","",IF(P58="Entregue",IF(O58="","",MAX(0,O58-N58)),MAX(0,TODAY()-N58)))</x:f>
        <x:v>48</x:v>
      </x:c>
      <x:c r="U58" s="12" t="str">
        <x:f t="shared" ca="1" si="7">IF(P58="Cancelado","Cancelado",IF(P58="Entregue",IF(T58&gt;0,"Entregue com atraso","Entregue no prazo"),IF(T58&gt;0,"Atrasado","Dentro do prazo")))</x:f>
        <x:v>Atrasado</x:v>
      </x:c>
      <x:c r="V58" s="37" t="n">
        <x:f t="shared" si="8">IF(OR(Q58="",R58=""),"",ROUND(Q58+R58,2))</x:f>
        <x:v>2613.19</x:v>
      </x:c>
      <x:c r="W58" s="37" t="n">
        <x:f t="shared" si="9">IF(OR(M58="",V58=""),"",ROUND(M58-V58,2))</x:f>
        <x:v>711.15</x:v>
      </x:c>
    </x:row>
    <x:row r="59">
      <x:c r="A59" s="12" t="s">
        <x:v>226</x:v>
      </x:c>
      <x:c r="B59" s="34">
        <x:v>46093</x:v>
      </x:c>
      <x:c r="C59" s="12" t="s">
        <x:v>145</x:v>
      </x:c>
      <x:c r="D59" s="12" t="s">
        <x:v>146</x:v>
      </x:c>
      <x:c r="E59" s="12" t="s">
        <x:v>130</x:v>
      </x:c>
      <x:c r="F59" s="12" t="s">
        <x:v>82</x:v>
      </x:c>
      <x:c r="G59" s="12" t="s">
        <x:v>83</x:v>
      </x:c>
      <x:c r="H59" s="12" t="s">
        <x:v>84</x:v>
      </x:c>
      <x:c r="I59" s="12">
        <x:v>5</x:v>
      </x:c>
      <x:c r="J59" s="37">
        <x:v>729.9</x:v>
      </x:c>
      <x:c r="K59" s="38">
        <x:v>0.05</x:v>
      </x:c>
      <x:c r="L59" s="37">
        <x:v>3649.5</x:v>
      </x:c>
      <x:c r="M59" s="37">
        <x:v>3467.02</x:v>
      </x:c>
      <x:c r="N59" s="34">
        <x:v>46105</x:v>
      </x:c>
      <x:c r="O59" s="34">
        <x:v>46105</x:v>
      </x:c>
      <x:c r="P59" s="12" t="s">
        <x:v>28</x:v>
      </x:c>
      <x:c r="Q59" s="37">
        <x:v>2393.56</x:v>
      </x:c>
      <x:c r="R59" s="37">
        <x:v>212.68</x:v>
      </x:c>
      <x:c r="S59" s="36" t="n">
        <x:f t="shared" si="5">IF(OR(B59="",N59=""),"",N59-B59)</x:f>
        <x:v>12</x:v>
      </x:c>
      <x:c r="T59" s="36" t="n">
        <x:f t="shared" ca="1" si="6">IF(P59="Cancelado","",IF(P59="Entregue",IF(O59="","",MAX(0,O59-N59)),MAX(0,TODAY()-N59)))</x:f>
        <x:v>0</x:v>
      </x:c>
      <x:c r="U59" s="12" t="str">
        <x:f t="shared" ca="1" si="7">IF(P59="Cancelado","Cancelado",IF(P59="Entregue",IF(T59&gt;0,"Entregue com atraso","Entregue no prazo"),IF(T59&gt;0,"Atrasado","Dentro do prazo")))</x:f>
        <x:v>Entregue no prazo</x:v>
      </x:c>
      <x:c r="V59" s="37" t="n">
        <x:f t="shared" si="8">IF(OR(Q59="",R59=""),"",ROUND(Q59+R59,2))</x:f>
        <x:v>2606.24</x:v>
      </x:c>
      <x:c r="W59" s="37" t="n">
        <x:f t="shared" si="9">IF(OR(M59="",V59=""),"",ROUND(M59-V59,2))</x:f>
        <x:v>860.78</x:v>
      </x:c>
    </x:row>
    <x:row r="60">
      <x:c r="A60" s="12" t="s">
        <x:v>227</x:v>
      </x:c>
      <x:c r="B60" s="34">
        <x:v>46087</x:v>
      </x:c>
      <x:c r="C60" s="12" t="s">
        <x:v>210</x:v>
      </x:c>
      <x:c r="D60" s="12" t="s">
        <x:v>211</x:v>
      </x:c>
      <x:c r="E60" s="12" t="s">
        <x:v>94</x:v>
      </x:c>
      <x:c r="F60" s="12" t="s">
        <x:v>104</x:v>
      </x:c>
      <x:c r="G60" s="12" t="s">
        <x:v>105</x:v>
      </x:c>
      <x:c r="H60" s="12" t="s">
        <x:v>74</x:v>
      </x:c>
      <x:c r="I60" s="12">
        <x:v>6</x:v>
      </x:c>
      <x:c r="J60" s="37">
        <x:v>699.9</x:v>
      </x:c>
      <x:c r="K60" s="38">
        <x:v>0.05</x:v>
      </x:c>
      <x:c r="L60" s="37">
        <x:v>4199.3999999999996</x:v>
      </x:c>
      <x:c r="M60" s="37">
        <x:v>3989.43</x:v>
      </x:c>
      <x:c r="N60" s="34">
        <x:v>46093</x:v>
      </x:c>
      <x:c r="O60" s="34">
        <x:v>46093</x:v>
      </x:c>
      <x:c r="P60" s="12" t="s">
        <x:v>28</x:v>
      </x:c>
      <x:c r="Q60" s="37">
        <x:v>2717.94</x:v>
      </x:c>
      <x:c r="R60" s="37">
        <x:v>80.91</x:v>
      </x:c>
      <x:c r="S60" s="36" t="n">
        <x:f t="shared" si="5">IF(OR(B60="",N60=""),"",N60-B60)</x:f>
        <x:v>6</x:v>
      </x:c>
      <x:c r="T60" s="36" t="n">
        <x:f t="shared" ca="1" si="6">IF(P60="Cancelado","",IF(P60="Entregue",IF(O60="","",MAX(0,O60-N60)),MAX(0,TODAY()-N60)))</x:f>
        <x:v>0</x:v>
      </x:c>
      <x:c r="U60" s="12" t="str">
        <x:f t="shared" ca="1" si="7">IF(P60="Cancelado","Cancelado",IF(P60="Entregue",IF(T60&gt;0,"Entregue com atraso","Entregue no prazo"),IF(T60&gt;0,"Atrasado","Dentro do prazo")))</x:f>
        <x:v>Entregue no prazo</x:v>
      </x:c>
      <x:c r="V60" s="37" t="n">
        <x:f t="shared" si="8">IF(OR(Q60="",R60=""),"",ROUND(Q60+R60,2))</x:f>
        <x:v>2798.85</x:v>
      </x:c>
      <x:c r="W60" s="37" t="n">
        <x:f t="shared" si="9">IF(OR(M60="",V60=""),"",ROUND(M60-V60,2))</x:f>
        <x:v>1190.58</x:v>
      </x:c>
    </x:row>
    <x:row r="61">
      <x:c r="A61" s="12" t="s">
        <x:v>228</x:v>
      </x:c>
      <x:c r="B61" s="34">
        <x:v>46081</x:v>
      </x:c>
      <x:c r="C61" s="12" t="s">
        <x:v>69</x:v>
      </x:c>
      <x:c r="D61" s="12" t="s">
        <x:v>70</x:v>
      </x:c>
      <x:c r="E61" s="12" t="s">
        <x:v>71</x:v>
      </x:c>
      <x:c r="F61" s="12" t="s">
        <x:v>156</x:v>
      </x:c>
      <x:c r="G61" s="12" t="s">
        <x:v>157</x:v>
      </x:c>
      <x:c r="H61" s="12" t="s">
        <x:v>74</x:v>
      </x:c>
      <x:c r="I61" s="12">
        <x:v>7</x:v>
      </x:c>
      <x:c r="J61" s="37">
        <x:v>849.9</x:v>
      </x:c>
      <x:c r="K61" s="38">
        <x:v>0</x:v>
      </x:c>
      <x:c r="L61" s="37">
        <x:v>5949.3</x:v>
      </x:c>
      <x:c r="M61" s="37">
        <x:v>5949.3</x:v>
      </x:c>
      <x:c r="N61" s="34">
        <x:v>46094</x:v>
      </x:c>
      <x:c r="O61" s="34">
        <x:v>46091</x:v>
      </x:c>
      <x:c r="P61" s="12" t="s">
        <x:v>28</x:v>
      </x:c>
      <x:c r="Q61" s="37">
        <x:v>3885.45</x:v>
      </x:c>
      <x:c r="R61" s="37">
        <x:v>143.72999999999999</x:v>
      </x:c>
      <x:c r="S61" s="36" t="n">
        <x:f t="shared" si="5">IF(OR(B61="",N61=""),"",N61-B61)</x:f>
        <x:v>13</x:v>
      </x:c>
      <x:c r="T61" s="36" t="n">
        <x:f t="shared" ca="1" si="6">IF(P61="Cancelado","",IF(P61="Entregue",IF(O61="","",MAX(0,O61-N61)),MAX(0,TODAY()-N61)))</x:f>
        <x:v>0</x:v>
      </x:c>
      <x:c r="U61" s="12" t="str">
        <x:f t="shared" ca="1" si="7">IF(P61="Cancelado","Cancelado",IF(P61="Entregue",IF(T61&gt;0,"Entregue com atraso","Entregue no prazo"),IF(T61&gt;0,"Atrasado","Dentro do prazo")))</x:f>
        <x:v>Entregue no prazo</x:v>
      </x:c>
      <x:c r="V61" s="37" t="n">
        <x:f t="shared" si="8">IF(OR(Q61="",R61=""),"",ROUND(Q61+R61,2))</x:f>
        <x:v>4029.18</x:v>
      </x:c>
      <x:c r="W61" s="37" t="n">
        <x:f t="shared" si="9">IF(OR(M61="",V61=""),"",ROUND(M61-V61,2))</x:f>
        <x:v>1920.12</x:v>
      </x:c>
    </x:row>
    <x:row r="62">
      <x:c r="A62" s="12" t="s">
        <x:v>229</x:v>
      </x:c>
      <x:c r="B62" s="34">
        <x:v>46258</x:v>
      </x:c>
      <x:c r="C62" s="12" t="s">
        <x:v>145</x:v>
      </x:c>
      <x:c r="D62" s="12" t="s">
        <x:v>146</x:v>
      </x:c>
      <x:c r="E62" s="12" t="s">
        <x:v>130</x:v>
      </x:c>
      <x:c r="F62" s="12" t="s">
        <x:v>139</x:v>
      </x:c>
      <x:c r="G62" s="12" t="s">
        <x:v>140</x:v>
      </x:c>
      <x:c r="H62" s="12" t="s">
        <x:v>90</x:v>
      </x:c>
      <x:c r="I62" s="12">
        <x:v>1</x:v>
      </x:c>
      <x:c r="J62" s="37">
        <x:v>779.9</x:v>
      </x:c>
      <x:c r="K62" s="38">
        <x:v>0.05</x:v>
      </x:c>
      <x:c r="L62" s="37">
        <x:v>779.9</x:v>
      </x:c>
      <x:c r="M62" s="37">
        <x:v>740.9</x:v>
      </x:c>
      <x:c r="N62" s="34">
        <x:v>46269</x:v>
      </x:c>
      <x:c r="O62" s="35"/>
      <x:c r="P62" s="12" t="s">
        <x:v>27</x:v>
      </x:c>
      <x:c r="Q62" s="37">
        <x:v>571.11</x:v>
      </x:c>
      <x:c r="R62" s="37">
        <x:v>115.17</x:v>
      </x:c>
      <x:c r="S62" s="36" t="n">
        <x:f t="shared" si="5">IF(OR(B62="",N62=""),"",N62-B62)</x:f>
        <x:v>11</x:v>
      </x:c>
      <x:c r="T62" s="36" t="n">
        <x:f t="shared" ca="1" si="6">IF(P62="Cancelado","",IF(P62="Entregue",IF(O62="","",MAX(0,O62-N62)),MAX(0,TODAY()-N62)))</x:f>
        <x:v>11</x:v>
      </x:c>
      <x:c r="U62" s="12" t="str">
        <x:f t="shared" ca="1" si="7">IF(P62="Cancelado","Cancelado",IF(P62="Entregue",IF(T62&gt;0,"Entregue com atraso","Entregue no prazo"),IF(T62&gt;0,"Atrasado","Dentro do prazo")))</x:f>
        <x:v>Atrasado</x:v>
      </x:c>
      <x:c r="V62" s="37" t="n">
        <x:f t="shared" si="8">IF(OR(Q62="",R62=""),"",ROUND(Q62+R62,2))</x:f>
        <x:v>686.28</x:v>
      </x:c>
      <x:c r="W62" s="37" t="n">
        <x:f t="shared" si="9">IF(OR(M62="",V62=""),"",ROUND(M62-V62,2))</x:f>
        <x:v>54.62</x:v>
      </x:c>
    </x:row>
    <x:row r="63">
      <x:c r="A63" s="12" t="s">
        <x:v>230</x:v>
      </x:c>
      <x:c r="B63" s="34">
        <x:v>46126</x:v>
      </x:c>
      <x:c r="C63" s="12" t="s">
        <x:v>162</x:v>
      </x:c>
      <x:c r="D63" s="12" t="s">
        <x:v>163</x:v>
      </x:c>
      <x:c r="E63" s="12" t="s">
        <x:v>164</x:v>
      </x:c>
      <x:c r="F63" s="12" t="s">
        <x:v>156</x:v>
      </x:c>
      <x:c r="G63" s="12" t="s">
        <x:v>157</x:v>
      </x:c>
      <x:c r="H63" s="12" t="s">
        <x:v>74</x:v>
      </x:c>
      <x:c r="I63" s="12">
        <x:v>4</x:v>
      </x:c>
      <x:c r="J63" s="37">
        <x:v>849.9</x:v>
      </x:c>
      <x:c r="K63" s="38">
        <x:v>0.03</x:v>
      </x:c>
      <x:c r="L63" s="37">
        <x:v>3399.6</x:v>
      </x:c>
      <x:c r="M63" s="37">
        <x:v>3297.61</x:v>
      </x:c>
      <x:c r="N63" s="34">
        <x:v>46134</x:v>
      </x:c>
      <x:c r="O63" s="34">
        <x:v>46136</x:v>
      </x:c>
      <x:c r="P63" s="12" t="s">
        <x:v>28</x:v>
      </x:c>
      <x:c r="Q63" s="37">
        <x:v>2059.83</x:v>
      </x:c>
      <x:c r="R63" s="37">
        <x:v>123.99</x:v>
      </x:c>
      <x:c r="S63" s="36" t="n">
        <x:f t="shared" si="5">IF(OR(B63="",N63=""),"",N63-B63)</x:f>
        <x:v>8</x:v>
      </x:c>
      <x:c r="T63" s="36" t="n">
        <x:f t="shared" ca="1" si="6">IF(P63="Cancelado","",IF(P63="Entregue",IF(O63="","",MAX(0,O63-N63)),MAX(0,TODAY()-N63)))</x:f>
        <x:v>2</x:v>
      </x:c>
      <x:c r="U63" s="12" t="str">
        <x:f t="shared" ca="1" si="7">IF(P63="Cancelado","Cancelado",IF(P63="Entregue",IF(T63&gt;0,"Entregue com atraso","Entregue no prazo"),IF(T63&gt;0,"Atrasado","Dentro do prazo")))</x:f>
        <x:v>Entregue com atraso</x:v>
      </x:c>
      <x:c r="V63" s="37" t="n">
        <x:f t="shared" si="8">IF(OR(Q63="",R63=""),"",ROUND(Q63+R63,2))</x:f>
        <x:v>2183.82</x:v>
      </x:c>
      <x:c r="W63" s="37" t="n">
        <x:f t="shared" si="9">IF(OR(M63="",V63=""),"",ROUND(M63-V63,2))</x:f>
        <x:v>1113.79</x:v>
      </x:c>
    </x:row>
    <x:row r="64">
      <x:c r="A64" s="12" t="s">
        <x:v>231</x:v>
      </x:c>
      <x:c r="B64" s="34">
        <x:v>46200</x:v>
      </x:c>
      <x:c r="C64" s="12" t="s">
        <x:v>64</x:v>
      </x:c>
      <x:c r="D64" s="12" t="s">
        <x:v>65</x:v>
      </x:c>
      <x:c r="E64" s="12" t="s">
        <x:v>59</x:v>
      </x:c>
      <x:c r="F64" s="12" t="s">
        <x:v>72</x:v>
      </x:c>
      <x:c r="G64" s="12" t="s">
        <x:v>73</x:v>
      </x:c>
      <x:c r="H64" s="12" t="s">
        <x:v>74</x:v>
      </x:c>
      <x:c r="I64" s="12">
        <x:v>3</x:v>
      </x:c>
      <x:c r="J64" s="37">
        <x:v>1349.9</x:v>
      </x:c>
      <x:c r="K64" s="38">
        <x:v>0.03</x:v>
      </x:c>
      <x:c r="L64" s="37">
        <x:v>4049.7</x:v>
      </x:c>
      <x:c r="M64" s="37">
        <x:v>3928.21</x:v>
      </x:c>
      <x:c r="N64" s="34">
        <x:v>46207</x:v>
      </x:c>
      <x:c r="O64" s="35"/>
      <x:c r="P64" s="12" t="s">
        <x:v>29</x:v>
      </x:c>
      <x:c r="Q64" s="37">
        <x:v>2771.19</x:v>
      </x:c>
      <x:c r="R64" s="37">
        <x:v>258.13</x:v>
      </x:c>
      <x:c r="S64" s="36" t="n">
        <x:f t="shared" si="5">IF(OR(B64="",N64=""),"",N64-B64)</x:f>
        <x:v>7</x:v>
      </x:c>
      <x:c r="T64" s="36" t="str">
        <x:f t="shared" ca="1" si="6">IF(P64="Cancelado","",IF(P64="Entregue",IF(O64="","",MAX(0,O64-N64)),MAX(0,TODAY()-N64)))</x:f>
      </x:c>
      <x:c r="U64" s="12" t="str">
        <x:f t="shared" si="7">IF(P64="Cancelado","Cancelado",IF(P64="Entregue",IF(T64&gt;0,"Entregue com atraso","Entregue no prazo"),IF(T64&gt;0,"Atrasado","Dentro do prazo")))</x:f>
        <x:v>Cancelado</x:v>
      </x:c>
      <x:c r="V64" s="37" t="n">
        <x:f t="shared" si="8">IF(OR(Q64="",R64=""),"",ROUND(Q64+R64,2))</x:f>
        <x:v>3029.32</x:v>
      </x:c>
      <x:c r="W64" s="37" t="n">
        <x:f t="shared" si="9">IF(OR(M64="",V64=""),"",ROUND(M64-V64,2))</x:f>
        <x:v>898.89</x:v>
      </x:c>
    </x:row>
    <x:row r="65">
      <x:c r="A65" s="12" t="s">
        <x:v>232</x:v>
      </x:c>
      <x:c r="B65" s="34">
        <x:v>46178</x:v>
      </x:c>
      <x:c r="C65" s="12" t="s">
        <x:v>177</x:v>
      </x:c>
      <x:c r="D65" s="12" t="s">
        <x:v>178</x:v>
      </x:c>
      <x:c r="E65" s="12" t="s">
        <x:v>164</x:v>
      </x:c>
      <x:c r="F65" s="12" t="s">
        <x:v>66</x:v>
      </x:c>
      <x:c r="G65" s="12" t="s">
        <x:v>67</x:v>
      </x:c>
      <x:c r="H65" s="12" t="s">
        <x:v>62</x:v>
      </x:c>
      <x:c r="I65" s="12">
        <x:v>2</x:v>
      </x:c>
      <x:c r="J65" s="37">
        <x:v>389.9</x:v>
      </x:c>
      <x:c r="K65" s="38">
        <x:v>0.08</x:v>
      </x:c>
      <x:c r="L65" s="37">
        <x:v>779.8</x:v>
      </x:c>
      <x:c r="M65" s="37">
        <x:v>717.42</x:v>
      </x:c>
      <x:c r="N65" s="34">
        <x:v>46189</x:v>
      </x:c>
      <x:c r="O65" s="34">
        <x:v>46191</x:v>
      </x:c>
      <x:c r="P65" s="12" t="s">
        <x:v>28</x:v>
      </x:c>
      <x:c r="Q65" s="37">
        <x:v>465.66</x:v>
      </x:c>
      <x:c r="R65" s="37">
        <x:v>106.14</x:v>
      </x:c>
      <x:c r="S65" s="36" t="n">
        <x:f t="shared" si="5">IF(OR(B65="",N65=""),"",N65-B65)</x:f>
        <x:v>11</x:v>
      </x:c>
      <x:c r="T65" s="36" t="n">
        <x:f t="shared" ca="1" si="6">IF(P65="Cancelado","",IF(P65="Entregue",IF(O65="","",MAX(0,O65-N65)),MAX(0,TODAY()-N65)))</x:f>
        <x:v>2</x:v>
      </x:c>
      <x:c r="U65" s="12" t="str">
        <x:f t="shared" ca="1" si="7">IF(P65="Cancelado","Cancelado",IF(P65="Entregue",IF(T65&gt;0,"Entregue com atraso","Entregue no prazo"),IF(T65&gt;0,"Atrasado","Dentro do prazo")))</x:f>
        <x:v>Entregue com atraso</x:v>
      </x:c>
      <x:c r="V65" s="37" t="n">
        <x:f t="shared" si="8">IF(OR(Q65="",R65=""),"",ROUND(Q65+R65,2))</x:f>
        <x:v>571.8</x:v>
      </x:c>
      <x:c r="W65" s="37" t="n">
        <x:f t="shared" si="9">IF(OR(M65="",V65=""),"",ROUND(M65-V65,2))</x:f>
        <x:v>145.62</x:v>
      </x:c>
    </x:row>
    <x:row r="66">
      <x:c r="A66" s="12" t="s">
        <x:v>233</x:v>
      </x:c>
      <x:c r="B66" s="34">
        <x:v>46110</x:v>
      </x:c>
      <x:c r="C66" s="12" t="s">
        <x:v>128</x:v>
      </x:c>
      <x:c r="D66" s="12" t="s">
        <x:v>129</x:v>
      </x:c>
      <x:c r="E66" s="12" t="s">
        <x:v>130</x:v>
      </x:c>
      <x:c r="F66" s="12" t="s">
        <x:v>221</x:v>
      </x:c>
      <x:c r="G66" s="12" t="s">
        <x:v>222</x:v>
      </x:c>
      <x:c r="H66" s="12" t="s">
        <x:v>113</x:v>
      </x:c>
      <x:c r="I66" s="12">
        <x:v>6</x:v>
      </x:c>
      <x:c r="J66" s="37">
        <x:v>499.9</x:v>
      </x:c>
      <x:c r="K66" s="38">
        <x:v>0</x:v>
      </x:c>
      <x:c r="L66" s="37">
        <x:v>2999.4</x:v>
      </x:c>
      <x:c r="M66" s="37">
        <x:v>2999.4</x:v>
      </x:c>
      <x:c r="N66" s="34">
        <x:v>46121</x:v>
      </x:c>
      <x:c r="O66" s="34">
        <x:v>46122</x:v>
      </x:c>
      <x:c r="P66" s="12" t="s">
        <x:v>28</x:v>
      </x:c>
      <x:c r="Q66" s="37">
        <x:v>1980.69</x:v>
      </x:c>
      <x:c r="R66" s="37">
        <x:v>64.25</x:v>
      </x:c>
      <x:c r="S66" s="36" t="n">
        <x:f t="shared" ref="S66:S97" si="10">IF(OR(B66="",N66=""),"",N66-B66)</x:f>
        <x:v>11</x:v>
      </x:c>
      <x:c r="T66" s="36" t="n">
        <x:f t="shared" ref="T66:T97" ca="1" si="11">IF(P66="Cancelado","",IF(P66="Entregue",IF(O66="","",MAX(0,O66-N66)),MAX(0,TODAY()-N66)))</x:f>
        <x:v>1</x:v>
      </x:c>
      <x:c r="U66" s="12" t="str">
        <x:f t="shared" ref="U66:U97" ca="1" si="12">IF(P66="Cancelado","Cancelado",IF(P66="Entregue",IF(T66&gt;0,"Entregue com atraso","Entregue no prazo"),IF(T66&gt;0,"Atrasado","Dentro do prazo")))</x:f>
        <x:v>Entregue com atraso</x:v>
      </x:c>
      <x:c r="V66" s="37" t="n">
        <x:f t="shared" ref="V66:V97" si="13">IF(OR(Q66="",R66=""),"",ROUND(Q66+R66,2))</x:f>
        <x:v>2044.94</x:v>
      </x:c>
      <x:c r="W66" s="37" t="n">
        <x:f t="shared" ref="W66:W97" si="14">IF(OR(M66="",V66=""),"",ROUND(M66-V66,2))</x:f>
        <x:v>954.46</x:v>
      </x:c>
    </x:row>
    <x:row r="67">
      <x:c r="A67" s="12" t="s">
        <x:v>234</x:v>
      </x:c>
      <x:c r="B67" s="34">
        <x:v>46031</x:v>
      </x:c>
      <x:c r="C67" s="12" t="s">
        <x:v>107</x:v>
      </x:c>
      <x:c r="D67" s="12" t="s">
        <x:v>108</x:v>
      </x:c>
      <x:c r="E67" s="12" t="s">
        <x:v>109</x:v>
      </x:c>
      <x:c r="F67" s="12" t="s">
        <x:v>76</x:v>
      </x:c>
      <x:c r="G67" s="12" t="s">
        <x:v>77</x:v>
      </x:c>
      <x:c r="H67" s="12" t="s">
        <x:v>62</x:v>
      </x:c>
      <x:c r="I67" s="12">
        <x:v>1</x:v>
      </x:c>
      <x:c r="J67" s="37">
        <x:v>689.9</x:v>
      </x:c>
      <x:c r="K67" s="38">
        <x:v>0</x:v>
      </x:c>
      <x:c r="L67" s="37">
        <x:v>689.9</x:v>
      </x:c>
      <x:c r="M67" s="37">
        <x:v>689.9</x:v>
      </x:c>
      <x:c r="N67" s="34">
        <x:v>46039</x:v>
      </x:c>
      <x:c r="O67" s="34">
        <x:v>46046</x:v>
      </x:c>
      <x:c r="P67" s="12" t="s">
        <x:v>28</x:v>
      </x:c>
      <x:c r="Q67" s="37">
        <x:v>432.18</x:v>
      </x:c>
      <x:c r="R67" s="37">
        <x:v>52.29</x:v>
      </x:c>
      <x:c r="S67" s="36" t="n">
        <x:f t="shared" si="10">IF(OR(B67="",N67=""),"",N67-B67)</x:f>
        <x:v>8</x:v>
      </x:c>
      <x:c r="T67" s="36" t="n">
        <x:f t="shared" ca="1" si="11">IF(P67="Cancelado","",IF(P67="Entregue",IF(O67="","",MAX(0,O67-N67)),MAX(0,TODAY()-N67)))</x:f>
        <x:v>7</x:v>
      </x:c>
      <x:c r="U67" s="12" t="str">
        <x:f t="shared" ca="1" si="12">IF(P67="Cancelado","Cancelado",IF(P67="Entregue",IF(T67&gt;0,"Entregue com atraso","Entregue no prazo"),IF(T67&gt;0,"Atrasado","Dentro do prazo")))</x:f>
        <x:v>Entregue com atraso</x:v>
      </x:c>
      <x:c r="V67" s="37" t="n">
        <x:f t="shared" si="13">IF(OR(Q67="",R67=""),"",ROUND(Q67+R67,2))</x:f>
        <x:v>484.47</x:v>
      </x:c>
      <x:c r="W67" s="37" t="n">
        <x:f t="shared" si="14">IF(OR(M67="",V67=""),"",ROUND(M67-V67,2))</x:f>
        <x:v>205.43</x:v>
      </x:c>
    </x:row>
    <x:row r="68">
      <x:c r="A68" s="12" t="s">
        <x:v>235</x:v>
      </x:c>
      <x:c r="B68" s="34">
        <x:v>46090</x:v>
      </x:c>
      <x:c r="C68" s="12" t="s">
        <x:v>128</x:v>
      </x:c>
      <x:c r="D68" s="12" t="s">
        <x:v>129</x:v>
      </x:c>
      <x:c r="E68" s="12" t="s">
        <x:v>130</x:v>
      </x:c>
      <x:c r="F68" s="12" t="s">
        <x:v>66</x:v>
      </x:c>
      <x:c r="G68" s="12" t="s">
        <x:v>67</x:v>
      </x:c>
      <x:c r="H68" s="12" t="s">
        <x:v>62</x:v>
      </x:c>
      <x:c r="I68" s="12">
        <x:v>3</x:v>
      </x:c>
      <x:c r="J68" s="37">
        <x:v>389.9</x:v>
      </x:c>
      <x:c r="K68" s="38">
        <x:v>0</x:v>
      </x:c>
      <x:c r="L68" s="37">
        <x:v>1169.7</x:v>
      </x:c>
      <x:c r="M68" s="37">
        <x:v>1169.7</x:v>
      </x:c>
      <x:c r="N68" s="34">
        <x:v>46097</x:v>
      </x:c>
      <x:c r="O68" s="34">
        <x:v>46095</x:v>
      </x:c>
      <x:c r="P68" s="12" t="s">
        <x:v>28</x:v>
      </x:c>
      <x:c r="Q68" s="37">
        <x:v>830.76</x:v>
      </x:c>
      <x:c r="R68" s="37">
        <x:v>96.22</x:v>
      </x:c>
      <x:c r="S68" s="36" t="n">
        <x:f t="shared" si="10">IF(OR(B68="",N68=""),"",N68-B68)</x:f>
        <x:v>7</x:v>
      </x:c>
      <x:c r="T68" s="36" t="n">
        <x:f t="shared" ca="1" si="11">IF(P68="Cancelado","",IF(P68="Entregue",IF(O68="","",MAX(0,O68-N68)),MAX(0,TODAY()-N68)))</x:f>
        <x:v>0</x:v>
      </x:c>
      <x:c r="U68" s="12" t="str">
        <x:f t="shared" ca="1" si="12">IF(P68="Cancelado","Cancelado",IF(P68="Entregue",IF(T68&gt;0,"Entregue com atraso","Entregue no prazo"),IF(T68&gt;0,"Atrasado","Dentro do prazo")))</x:f>
        <x:v>Entregue no prazo</x:v>
      </x:c>
      <x:c r="V68" s="37" t="n">
        <x:f t="shared" si="13">IF(OR(Q68="",R68=""),"",ROUND(Q68+R68,2))</x:f>
        <x:v>926.98</x:v>
      </x:c>
      <x:c r="W68" s="37" t="n">
        <x:f t="shared" si="14">IF(OR(M68="",V68=""),"",ROUND(M68-V68,2))</x:f>
        <x:v>242.72</x:v>
      </x:c>
    </x:row>
    <x:row r="69">
      <x:c r="A69" s="12" t="s">
        <x:v>236</x:v>
      </x:c>
      <x:c r="B69" s="34">
        <x:v>46206</x:v>
      </x:c>
      <x:c r="C69" s="12" t="s">
        <x:v>210</x:v>
      </x:c>
      <x:c r="D69" s="12" t="s">
        <x:v>211</x:v>
      </x:c>
      <x:c r="E69" s="12" t="s">
        <x:v>94</x:v>
      </x:c>
      <x:c r="F69" s="12" t="s">
        <x:v>196</x:v>
      </x:c>
      <x:c r="G69" s="12" t="s">
        <x:v>197</x:v>
      </x:c>
      <x:c r="H69" s="12" t="s">
        <x:v>74</x:v>
      </x:c>
      <x:c r="I69" s="12">
        <x:v>3</x:v>
      </x:c>
      <x:c r="J69" s="37">
        <x:v>1199.9000000000001</x:v>
      </x:c>
      <x:c r="K69" s="38">
        <x:v>0.05</x:v>
      </x:c>
      <x:c r="L69" s="37">
        <x:v>3599.7</x:v>
      </x:c>
      <x:c r="M69" s="37">
        <x:v>3419.71</x:v>
      </x:c>
      <x:c r="N69" s="34">
        <x:v>46220</x:v>
      </x:c>
      <x:c r="O69" s="35"/>
      <x:c r="P69" s="12" t="s">
        <x:v>29</x:v>
      </x:c>
      <x:c r="Q69" s="37">
        <x:v>2513.27</x:v>
      </x:c>
      <x:c r="R69" s="37">
        <x:v>227.78</x:v>
      </x:c>
      <x:c r="S69" s="36" t="n">
        <x:f t="shared" si="10">IF(OR(B69="",N69=""),"",N69-B69)</x:f>
        <x:v>14</x:v>
      </x:c>
      <x:c r="T69" s="36" t="str">
        <x:f t="shared" ca="1" si="11">IF(P69="Cancelado","",IF(P69="Entregue",IF(O69="","",MAX(0,O69-N69)),MAX(0,TODAY()-N69)))</x:f>
      </x:c>
      <x:c r="U69" s="12" t="str">
        <x:f t="shared" si="12">IF(P69="Cancelado","Cancelado",IF(P69="Entregue",IF(T69&gt;0,"Entregue com atraso","Entregue no prazo"),IF(T69&gt;0,"Atrasado","Dentro do prazo")))</x:f>
        <x:v>Cancelado</x:v>
      </x:c>
      <x:c r="V69" s="37" t="n">
        <x:f t="shared" si="13">IF(OR(Q69="",R69=""),"",ROUND(Q69+R69,2))</x:f>
        <x:v>2741.05</x:v>
      </x:c>
      <x:c r="W69" s="37" t="n">
        <x:f t="shared" si="14">IF(OR(M69="",V69=""),"",ROUND(M69-V69,2))</x:f>
        <x:v>678.66</x:v>
      </x:c>
    </x:row>
    <x:row r="70">
      <x:c r="A70" s="12" t="s">
        <x:v>237</x:v>
      </x:c>
      <x:c r="B70" s="34">
        <x:v>46068</x:v>
      </x:c>
      <x:c r="C70" s="12" t="s">
        <x:v>168</x:v>
      </x:c>
      <x:c r="D70" s="12" t="s">
        <x:v>169</x:v>
      </x:c>
      <x:c r="E70" s="12" t="s">
        <x:v>164</x:v>
      </x:c>
      <x:c r="F70" s="12" t="s">
        <x:v>159</x:v>
      </x:c>
      <x:c r="G70" s="12" t="s">
        <x:v>160</x:v>
      </x:c>
      <x:c r="H70" s="12" t="s">
        <x:v>62</x:v>
      </x:c>
      <x:c r="I70" s="12">
        <x:v>1</x:v>
      </x:c>
      <x:c r="J70" s="37">
        <x:v>329.9</x:v>
      </x:c>
      <x:c r="K70" s="38">
        <x:v>0</x:v>
      </x:c>
      <x:c r="L70" s="37">
        <x:v>329.9</x:v>
      </x:c>
      <x:c r="M70" s="37">
        <x:v>329.9</x:v>
      </x:c>
      <x:c r="N70" s="34">
        <x:v>46082</x:v>
      </x:c>
      <x:c r="O70" s="34">
        <x:v>46083</x:v>
      </x:c>
      <x:c r="P70" s="12" t="s">
        <x:v>28</x:v>
      </x:c>
      <x:c r="Q70" s="37">
        <x:v>225.48</x:v>
      </x:c>
      <x:c r="R70" s="37">
        <x:v>213.03</x:v>
      </x:c>
      <x:c r="S70" s="36" t="n">
        <x:f t="shared" si="10">IF(OR(B70="",N70=""),"",N70-B70)</x:f>
        <x:v>14</x:v>
      </x:c>
      <x:c r="T70" s="36" t="n">
        <x:f t="shared" ca="1" si="11">IF(P70="Cancelado","",IF(P70="Entregue",IF(O70="","",MAX(0,O70-N70)),MAX(0,TODAY()-N70)))</x:f>
        <x:v>1</x:v>
      </x:c>
      <x:c r="U70" s="12" t="str">
        <x:f t="shared" ca="1" si="12">IF(P70="Cancelado","Cancelado",IF(P70="Entregue",IF(T70&gt;0,"Entregue com atraso","Entregue no prazo"),IF(T70&gt;0,"Atrasado","Dentro do prazo")))</x:f>
        <x:v>Entregue com atraso</x:v>
      </x:c>
      <x:c r="V70" s="37" t="n">
        <x:f t="shared" si="13">IF(OR(Q70="",R70=""),"",ROUND(Q70+R70,2))</x:f>
        <x:v>438.51</x:v>
      </x:c>
      <x:c r="W70" s="37" t="n">
        <x:f t="shared" si="14">IF(OR(M70="",V70=""),"",ROUND(M70-V70,2))</x:f>
        <x:v>-108.61</x:v>
      </x:c>
    </x:row>
    <x:row r="71">
      <x:c r="A71" s="12" t="s">
        <x:v>238</x:v>
      </x:c>
      <x:c r="B71" s="34">
        <x:v>46046</x:v>
      </x:c>
      <x:c r="C71" s="12" t="s">
        <x:v>177</x:v>
      </x:c>
      <x:c r="D71" s="12" t="s">
        <x:v>178</x:v>
      </x:c>
      <x:c r="E71" s="12" t="s">
        <x:v>164</x:v>
      </x:c>
      <x:c r="F71" s="12" t="s">
        <x:v>82</x:v>
      </x:c>
      <x:c r="G71" s="12" t="s">
        <x:v>83</x:v>
      </x:c>
      <x:c r="H71" s="12" t="s">
        <x:v>84</x:v>
      </x:c>
      <x:c r="I71" s="12">
        <x:v>2</x:v>
      </x:c>
      <x:c r="J71" s="37">
        <x:v>729.9</x:v>
      </x:c>
      <x:c r="K71" s="38">
        <x:v>0.08</x:v>
      </x:c>
      <x:c r="L71" s="37">
        <x:v>1459.8</x:v>
      </x:c>
      <x:c r="M71" s="37">
        <x:v>1343.02</x:v>
      </x:c>
      <x:c r="N71" s="34">
        <x:v>46055</x:v>
      </x:c>
      <x:c r="O71" s="35"/>
      <x:c r="P71" s="12" t="s">
        <x:v>27</x:v>
      </x:c>
      <x:c r="Q71" s="37">
        <x:v>961.69</x:v>
      </x:c>
      <x:c r="R71" s="37">
        <x:v>73.45</x:v>
      </x:c>
      <x:c r="S71" s="36" t="n">
        <x:f t="shared" si="10">IF(OR(B71="",N71=""),"",N71-B71)</x:f>
        <x:v>9</x:v>
      </x:c>
      <x:c r="T71" s="36" t="n">
        <x:f t="shared" ca="1" si="11">IF(P71="Cancelado","",IF(P71="Entregue",IF(O71="","",MAX(0,O71-N71)),MAX(0,TODAY()-N71)))</x:f>
        <x:v>225</x:v>
      </x:c>
      <x:c r="U71" s="12" t="str">
        <x:f t="shared" ca="1" si="12">IF(P71="Cancelado","Cancelado",IF(P71="Entregue",IF(T71&gt;0,"Entregue com atraso","Entregue no prazo"),IF(T71&gt;0,"Atrasado","Dentro do prazo")))</x:f>
        <x:v>Atrasado</x:v>
      </x:c>
      <x:c r="V71" s="37" t="n">
        <x:f t="shared" si="13">IF(OR(Q71="",R71=""),"",ROUND(Q71+R71,2))</x:f>
        <x:v>1035.14</x:v>
      </x:c>
      <x:c r="W71" s="37" t="n">
        <x:f t="shared" si="14">IF(OR(M71="",V71=""),"",ROUND(M71-V71,2))</x:f>
        <x:v>307.88</x:v>
      </x:c>
    </x:row>
    <x:row r="72">
      <x:c r="A72" s="12" t="s">
        <x:v>239</x:v>
      </x:c>
      <x:c r="B72" s="34">
        <x:v>46171</x:v>
      </x:c>
      <x:c r="C72" s="12" t="s">
        <x:v>64</x:v>
      </x:c>
      <x:c r="D72" s="12" t="s">
        <x:v>65</x:v>
      </x:c>
      <x:c r="E72" s="12" t="s">
        <x:v>59</x:v>
      </x:c>
      <x:c r="F72" s="12" t="s">
        <x:v>98</x:v>
      </x:c>
      <x:c r="G72" s="12" t="s">
        <x:v>99</x:v>
      </x:c>
      <x:c r="H72" s="12" t="s">
        <x:v>62</x:v>
      </x:c>
      <x:c r="I72" s="12">
        <x:v>6</x:v>
      </x:c>
      <x:c r="J72" s="37">
        <x:v>749.9</x:v>
      </x:c>
      <x:c r="K72" s="38">
        <x:v>0.05</x:v>
      </x:c>
      <x:c r="L72" s="37">
        <x:v>4499.3999999999996</x:v>
      </x:c>
      <x:c r="M72" s="37">
        <x:v>4274.43</x:v>
      </x:c>
      <x:c r="N72" s="34">
        <x:v>46182</x:v>
      </x:c>
      <x:c r="O72" s="34">
        <x:v>46180</x:v>
      </x:c>
      <x:c r="P72" s="12" t="s">
        <x:v>28</x:v>
      </x:c>
      <x:c r="Q72" s="37">
        <x:v>2996.18</x:v>
      </x:c>
      <x:c r="R72" s="37">
        <x:v>125.19</x:v>
      </x:c>
      <x:c r="S72" s="36" t="n">
        <x:f t="shared" si="10">IF(OR(B72="",N72=""),"",N72-B72)</x:f>
        <x:v>11</x:v>
      </x:c>
      <x:c r="T72" s="36" t="n">
        <x:f t="shared" ca="1" si="11">IF(P72="Cancelado","",IF(P72="Entregue",IF(O72="","",MAX(0,O72-N72)),MAX(0,TODAY()-N72)))</x:f>
        <x:v>0</x:v>
      </x:c>
      <x:c r="U72" s="12" t="str">
        <x:f t="shared" ca="1" si="12">IF(P72="Cancelado","Cancelado",IF(P72="Entregue",IF(T72&gt;0,"Entregue com atraso","Entregue no prazo"),IF(T72&gt;0,"Atrasado","Dentro do prazo")))</x:f>
        <x:v>Entregue no prazo</x:v>
      </x:c>
      <x:c r="V72" s="37" t="n">
        <x:f t="shared" si="13">IF(OR(Q72="",R72=""),"",ROUND(Q72+R72,2))</x:f>
        <x:v>3121.37</x:v>
      </x:c>
      <x:c r="W72" s="37" t="n">
        <x:f t="shared" si="14">IF(OR(M72="",V72=""),"",ROUND(M72-V72,2))</x:f>
        <x:v>1153.06</x:v>
      </x:c>
    </x:row>
    <x:row r="73">
      <x:c r="A73" s="12" t="s">
        <x:v>240</x:v>
      </x:c>
      <x:c r="B73" s="34">
        <x:v>46244</x:v>
      </x:c>
      <x:c r="C73" s="12" t="s">
        <x:v>193</x:v>
      </x:c>
      <x:c r="D73" s="12" t="s">
        <x:v>194</x:v>
      </x:c>
      <x:c r="E73" s="12" t="s">
        <x:v>103</x:v>
      </x:c>
      <x:c r="F73" s="12" t="s">
        <x:v>111</x:v>
      </x:c>
      <x:c r="G73" s="12" t="s">
        <x:v>112</x:v>
      </x:c>
      <x:c r="H73" s="12" t="s">
        <x:v>113</x:v>
      </x:c>
      <x:c r="I73" s="12">
        <x:v>2</x:v>
      </x:c>
      <x:c r="J73" s="37">
        <x:v>599.9</x:v>
      </x:c>
      <x:c r="K73" s="38">
        <x:v>0.03</x:v>
      </x:c>
      <x:c r="L73" s="37">
        <x:v>1199.8</x:v>
      </x:c>
      <x:c r="M73" s="37">
        <x:v>1163.81</x:v>
      </x:c>
      <x:c r="N73" s="34">
        <x:v>46254</x:v>
      </x:c>
      <x:c r="O73" s="34">
        <x:v>46256</x:v>
      </x:c>
      <x:c r="P73" s="12" t="s">
        <x:v>28</x:v>
      </x:c>
      <x:c r="Q73" s="37">
        <x:v>853.27</x:v>
      </x:c>
      <x:c r="R73" s="37">
        <x:v>147.34</x:v>
      </x:c>
      <x:c r="S73" s="36" t="n">
        <x:f t="shared" si="10">IF(OR(B73="",N73=""),"",N73-B73)</x:f>
        <x:v>10</x:v>
      </x:c>
      <x:c r="T73" s="36" t="n">
        <x:f t="shared" ca="1" si="11">IF(P73="Cancelado","",IF(P73="Entregue",IF(O73="","",MAX(0,O73-N73)),MAX(0,TODAY()-N73)))</x:f>
        <x:v>2</x:v>
      </x:c>
      <x:c r="U73" s="12" t="str">
        <x:f t="shared" ca="1" si="12">IF(P73="Cancelado","Cancelado",IF(P73="Entregue",IF(T73&gt;0,"Entregue com atraso","Entregue no prazo"),IF(T73&gt;0,"Atrasado","Dentro do prazo")))</x:f>
        <x:v>Entregue com atraso</x:v>
      </x:c>
      <x:c r="V73" s="37" t="n">
        <x:f t="shared" si="13">IF(OR(Q73="",R73=""),"",ROUND(Q73+R73,2))</x:f>
        <x:v>1000.61</x:v>
      </x:c>
      <x:c r="W73" s="37" t="n">
        <x:f t="shared" si="14">IF(OR(M73="",V73=""),"",ROUND(M73-V73,2))</x:f>
        <x:v>163.2</x:v>
      </x:c>
    </x:row>
    <x:row r="74">
      <x:c r="A74" s="12" t="s">
        <x:v>241</x:v>
      </x:c>
      <x:c r="B74" s="34">
        <x:v>46214</x:v>
      </x:c>
      <x:c r="C74" s="12" t="s">
        <x:v>57</x:v>
      </x:c>
      <x:c r="D74" s="12" t="s">
        <x:v>58</x:v>
      </x:c>
      <x:c r="E74" s="12" t="s">
        <x:v>59</x:v>
      </x:c>
      <x:c r="F74" s="12" t="s">
        <x:v>124</x:v>
      </x:c>
      <x:c r="G74" s="12" t="s">
        <x:v>125</x:v>
      </x:c>
      <x:c r="H74" s="12" t="s">
        <x:v>126</x:v>
      </x:c>
      <x:c r="I74" s="12">
        <x:v>8</x:v>
      </x:c>
      <x:c r="J74" s="37">
        <x:v>579.9</x:v>
      </x:c>
      <x:c r="K74" s="38">
        <x:v>0.03</x:v>
      </x:c>
      <x:c r="L74" s="37">
        <x:v>4639.2</x:v>
      </x:c>
      <x:c r="M74" s="37">
        <x:v>4500.0200000000004</x:v>
      </x:c>
      <x:c r="N74" s="34">
        <x:v>46225</x:v>
      </x:c>
      <x:c r="O74" s="35"/>
      <x:c r="P74" s="12" t="s">
        <x:v>27</x:v>
      </x:c>
      <x:c r="Q74" s="37">
        <x:v>3216.6</x:v>
      </x:c>
      <x:c r="R74" s="37">
        <x:v>120.74</x:v>
      </x:c>
      <x:c r="S74" s="36" t="n">
        <x:f t="shared" si="10">IF(OR(B74="",N74=""),"",N74-B74)</x:f>
        <x:v>11</x:v>
      </x:c>
      <x:c r="T74" s="36" t="n">
        <x:f t="shared" ca="1" si="11">IF(P74="Cancelado","",IF(P74="Entregue",IF(O74="","",MAX(0,O74-N74)),MAX(0,TODAY()-N74)))</x:f>
        <x:v>55</x:v>
      </x:c>
      <x:c r="U74" s="12" t="str">
        <x:f t="shared" ca="1" si="12">IF(P74="Cancelado","Cancelado",IF(P74="Entregue",IF(T74&gt;0,"Entregue com atraso","Entregue no prazo"),IF(T74&gt;0,"Atrasado","Dentro do prazo")))</x:f>
        <x:v>Atrasado</x:v>
      </x:c>
      <x:c r="V74" s="37" t="n">
        <x:f t="shared" si="13">IF(OR(Q74="",R74=""),"",ROUND(Q74+R74,2))</x:f>
        <x:v>3337.34</x:v>
      </x:c>
      <x:c r="W74" s="37" t="n">
        <x:f t="shared" si="14">IF(OR(M74="",V74=""),"",ROUND(M74-V74,2))</x:f>
        <x:v>1162.68</x:v>
      </x:c>
    </x:row>
    <x:row r="75">
      <x:c r="A75" s="12" t="s">
        <x:v>242</x:v>
      </x:c>
      <x:c r="B75" s="34">
        <x:v>46089</x:v>
      </x:c>
      <x:c r="C75" s="12" t="s">
        <x:v>96</x:v>
      </x:c>
      <x:c r="D75" s="12" t="s">
        <x:v>97</x:v>
      </x:c>
      <x:c r="E75" s="12" t="s">
        <x:v>94</x:v>
      </x:c>
      <x:c r="F75" s="12" t="s">
        <x:v>151</x:v>
      </x:c>
      <x:c r="G75" s="12" t="s">
        <x:v>152</x:v>
      </x:c>
      <x:c r="H75" s="12" t="s">
        <x:v>62</x:v>
      </x:c>
      <x:c r="I75" s="12">
        <x:v>5</x:v>
      </x:c>
      <x:c r="J75" s="37">
        <x:v>989.9</x:v>
      </x:c>
      <x:c r="K75" s="38">
        <x:v>0.03</x:v>
      </x:c>
      <x:c r="L75" s="37">
        <x:v>4949.5</x:v>
      </x:c>
      <x:c r="M75" s="37">
        <x:v>4801.01</x:v>
      </x:c>
      <x:c r="N75" s="34">
        <x:v>46097</x:v>
      </x:c>
      <x:c r="O75" s="34">
        <x:v>46102</x:v>
      </x:c>
      <x:c r="P75" s="12" t="s">
        <x:v>28</x:v>
      </x:c>
      <x:c r="Q75" s="37">
        <x:v>3445.46</x:v>
      </x:c>
      <x:c r="R75" s="37">
        <x:v>134.06</x:v>
      </x:c>
      <x:c r="S75" s="36" t="n">
        <x:f t="shared" si="10">IF(OR(B75="",N75=""),"",N75-B75)</x:f>
        <x:v>8</x:v>
      </x:c>
      <x:c r="T75" s="36" t="n">
        <x:f t="shared" ca="1" si="11">IF(P75="Cancelado","",IF(P75="Entregue",IF(O75="","",MAX(0,O75-N75)),MAX(0,TODAY()-N75)))</x:f>
        <x:v>5</x:v>
      </x:c>
      <x:c r="U75" s="12" t="str">
        <x:f t="shared" ca="1" si="12">IF(P75="Cancelado","Cancelado",IF(P75="Entregue",IF(T75&gt;0,"Entregue com atraso","Entregue no prazo"),IF(T75&gt;0,"Atrasado","Dentro do prazo")))</x:f>
        <x:v>Entregue com atraso</x:v>
      </x:c>
      <x:c r="V75" s="37" t="n">
        <x:f t="shared" si="13">IF(OR(Q75="",R75=""),"",ROUND(Q75+R75,2))</x:f>
        <x:v>3579.52</x:v>
      </x:c>
      <x:c r="W75" s="37" t="n">
        <x:f t="shared" si="14">IF(OR(M75="",V75=""),"",ROUND(M75-V75,2))</x:f>
        <x:v>1221.49</x:v>
      </x:c>
    </x:row>
    <x:row r="76">
      <x:c r="A76" s="12" t="s">
        <x:v>243</x:v>
      </x:c>
      <x:c r="B76" s="34">
        <x:v>46034</x:v>
      </x:c>
      <x:c r="C76" s="12" t="s">
        <x:v>217</x:v>
      </x:c>
      <x:c r="D76" s="12" t="s">
        <x:v>218</x:v>
      </x:c>
      <x:c r="E76" s="12" t="s">
        <x:v>130</x:v>
      </x:c>
      <x:c r="F76" s="12" t="s">
        <x:v>104</x:v>
      </x:c>
      <x:c r="G76" s="12" t="s">
        <x:v>105</x:v>
      </x:c>
      <x:c r="H76" s="12" t="s">
        <x:v>74</x:v>
      </x:c>
      <x:c r="I76" s="12">
        <x:v>3</x:v>
      </x:c>
      <x:c r="J76" s="37">
        <x:v>699.9</x:v>
      </x:c>
      <x:c r="K76" s="38">
        <x:v>0.03</x:v>
      </x:c>
      <x:c r="L76" s="37">
        <x:v>2099.6999999999998</x:v>
      </x:c>
      <x:c r="M76" s="37">
        <x:v>2036.71</x:v>
      </x:c>
      <x:c r="N76" s="34">
        <x:v>46042</x:v>
      </x:c>
      <x:c r="O76" s="34">
        <x:v>46042</x:v>
      </x:c>
      <x:c r="P76" s="12" t="s">
        <x:v>28</x:v>
      </x:c>
      <x:c r="Q76" s="37">
        <x:v>1373.67</x:v>
      </x:c>
      <x:c r="R76" s="37">
        <x:v>251.88</x:v>
      </x:c>
      <x:c r="S76" s="36" t="n">
        <x:f t="shared" si="10">IF(OR(B76="",N76=""),"",N76-B76)</x:f>
        <x:v>8</x:v>
      </x:c>
      <x:c r="T76" s="36" t="n">
        <x:f t="shared" ca="1" si="11">IF(P76="Cancelado","",IF(P76="Entregue",IF(O76="","",MAX(0,O76-N76)),MAX(0,TODAY()-N76)))</x:f>
        <x:v>0</x:v>
      </x:c>
      <x:c r="U76" s="12" t="str">
        <x:f t="shared" ca="1" si="12">IF(P76="Cancelado","Cancelado",IF(P76="Entregue",IF(T76&gt;0,"Entregue com atraso","Entregue no prazo"),IF(T76&gt;0,"Atrasado","Dentro do prazo")))</x:f>
        <x:v>Entregue no prazo</x:v>
      </x:c>
      <x:c r="V76" s="37" t="n">
        <x:f t="shared" si="13">IF(OR(Q76="",R76=""),"",ROUND(Q76+R76,2))</x:f>
        <x:v>1625.55</x:v>
      </x:c>
      <x:c r="W76" s="37" t="n">
        <x:f t="shared" si="14">IF(OR(M76="",V76=""),"",ROUND(M76-V76,2))</x:f>
        <x:v>411.16</x:v>
      </x:c>
    </x:row>
    <x:row r="77">
      <x:c r="A77" s="12" t="s">
        <x:v>244</x:v>
      </x:c>
      <x:c r="B77" s="34">
        <x:v>46206</x:v>
      </x:c>
      <x:c r="C77" s="12" t="s">
        <x:v>122</x:v>
      </x:c>
      <x:c r="D77" s="12" t="s">
        <x:v>123</x:v>
      </x:c>
      <x:c r="E77" s="12" t="s">
        <x:v>81</x:v>
      </x:c>
      <x:c r="F77" s="12" t="s">
        <x:v>124</x:v>
      </x:c>
      <x:c r="G77" s="12" t="s">
        <x:v>125</x:v>
      </x:c>
      <x:c r="H77" s="12" t="s">
        <x:v>126</x:v>
      </x:c>
      <x:c r="I77" s="12">
        <x:v>1</x:v>
      </x:c>
      <x:c r="J77" s="37">
        <x:v>579.9</x:v>
      </x:c>
      <x:c r="K77" s="38">
        <x:v>0.05</x:v>
      </x:c>
      <x:c r="L77" s="37">
        <x:v>579.9</x:v>
      </x:c>
      <x:c r="M77" s="37">
        <x:v>550.9</x:v>
      </x:c>
      <x:c r="N77" s="34">
        <x:v>46214</x:v>
      </x:c>
      <x:c r="O77" s="34">
        <x:v>46215</x:v>
      </x:c>
      <x:c r="P77" s="12" t="s">
        <x:v>28</x:v>
      </x:c>
      <x:c r="Q77" s="37">
        <x:v>384.62</x:v>
      </x:c>
      <x:c r="R77" s="37">
        <x:v>223.17</x:v>
      </x:c>
      <x:c r="S77" s="36" t="n">
        <x:f t="shared" si="10">IF(OR(B77="",N77=""),"",N77-B77)</x:f>
        <x:v>8</x:v>
      </x:c>
      <x:c r="T77" s="36" t="n">
        <x:f t="shared" ca="1" si="11">IF(P77="Cancelado","",IF(P77="Entregue",IF(O77="","",MAX(0,O77-N77)),MAX(0,TODAY()-N77)))</x:f>
        <x:v>1</x:v>
      </x:c>
      <x:c r="U77" s="12" t="str">
        <x:f t="shared" ca="1" si="12">IF(P77="Cancelado","Cancelado",IF(P77="Entregue",IF(T77&gt;0,"Entregue com atraso","Entregue no prazo"),IF(T77&gt;0,"Atrasado","Dentro do prazo")))</x:f>
        <x:v>Entregue com atraso</x:v>
      </x:c>
      <x:c r="V77" s="37" t="n">
        <x:f t="shared" si="13">IF(OR(Q77="",R77=""),"",ROUND(Q77+R77,2))</x:f>
        <x:v>607.79</x:v>
      </x:c>
      <x:c r="W77" s="37" t="n">
        <x:f t="shared" si="14">IF(OR(M77="",V77=""),"",ROUND(M77-V77,2))</x:f>
        <x:v>-56.89</x:v>
      </x:c>
    </x:row>
    <x:row r="78">
      <x:c r="A78" s="12" t="s">
        <x:v>245</x:v>
      </x:c>
      <x:c r="B78" s="34">
        <x:v>46203</x:v>
      </x:c>
      <x:c r="C78" s="12" t="s">
        <x:v>217</x:v>
      </x:c>
      <x:c r="D78" s="12" t="s">
        <x:v>218</x:v>
      </x:c>
      <x:c r="E78" s="12" t="s">
        <x:v>130</x:v>
      </x:c>
      <x:c r="F78" s="12" t="s">
        <x:v>111</x:v>
      </x:c>
      <x:c r="G78" s="12" t="s">
        <x:v>112</x:v>
      </x:c>
      <x:c r="H78" s="12" t="s">
        <x:v>113</x:v>
      </x:c>
      <x:c r="I78" s="12">
        <x:v>8</x:v>
      </x:c>
      <x:c r="J78" s="37">
        <x:v>599.9</x:v>
      </x:c>
      <x:c r="K78" s="38">
        <x:v>0</x:v>
      </x:c>
      <x:c r="L78" s="37">
        <x:v>4799.2</x:v>
      </x:c>
      <x:c r="M78" s="37">
        <x:v>4799.2</x:v>
      </x:c>
      <x:c r="N78" s="34">
        <x:v>46209</x:v>
      </x:c>
      <x:c r="O78" s="34">
        <x:v>46210</x:v>
      </x:c>
      <x:c r="P78" s="12" t="s">
        <x:v>28</x:v>
      </x:c>
      <x:c r="Q78" s="37">
        <x:v>3506.71</x:v>
      </x:c>
      <x:c r="R78" s="37">
        <x:v>116.96</x:v>
      </x:c>
      <x:c r="S78" s="36" t="n">
        <x:f t="shared" si="10">IF(OR(B78="",N78=""),"",N78-B78)</x:f>
        <x:v>6</x:v>
      </x:c>
      <x:c r="T78" s="36" t="n">
        <x:f t="shared" ca="1" si="11">IF(P78="Cancelado","",IF(P78="Entregue",IF(O78="","",MAX(0,O78-N78)),MAX(0,TODAY()-N78)))</x:f>
        <x:v>1</x:v>
      </x:c>
      <x:c r="U78" s="12" t="str">
        <x:f t="shared" ca="1" si="12">IF(P78="Cancelado","Cancelado",IF(P78="Entregue",IF(T78&gt;0,"Entregue com atraso","Entregue no prazo"),IF(T78&gt;0,"Atrasado","Dentro do prazo")))</x:f>
        <x:v>Entregue com atraso</x:v>
      </x:c>
      <x:c r="V78" s="37" t="n">
        <x:f t="shared" si="13">IF(OR(Q78="",R78=""),"",ROUND(Q78+R78,2))</x:f>
        <x:v>3623.67</x:v>
      </x:c>
      <x:c r="W78" s="37" t="n">
        <x:f t="shared" si="14">IF(OR(M78="",V78=""),"",ROUND(M78-V78,2))</x:f>
        <x:v>1175.53</x:v>
      </x:c>
    </x:row>
    <x:row r="79">
      <x:c r="A79" s="12" t="s">
        <x:v>246</x:v>
      </x:c>
      <x:c r="B79" s="34">
        <x:v>46175</x:v>
      </x:c>
      <x:c r="C79" s="12" t="s">
        <x:v>86</x:v>
      </x:c>
      <x:c r="D79" s="12" t="s">
        <x:v>87</x:v>
      </x:c>
      <x:c r="E79" s="12" t="s">
        <x:v>71</x:v>
      </x:c>
      <x:c r="F79" s="12" t="s">
        <x:v>111</x:v>
      </x:c>
      <x:c r="G79" s="12" t="s">
        <x:v>112</x:v>
      </x:c>
      <x:c r="H79" s="12" t="s">
        <x:v>113</x:v>
      </x:c>
      <x:c r="I79" s="12">
        <x:v>6</x:v>
      </x:c>
      <x:c r="J79" s="37">
        <x:v>599.9</x:v>
      </x:c>
      <x:c r="K79" s="38">
        <x:v>0.03</x:v>
      </x:c>
      <x:c r="L79" s="37">
        <x:v>3599.4</x:v>
      </x:c>
      <x:c r="M79" s="37">
        <x:v>3491.42</x:v>
      </x:c>
      <x:c r="N79" s="34">
        <x:v>46188</x:v>
      </x:c>
      <x:c r="O79" s="34">
        <x:v>46190</x:v>
      </x:c>
      <x:c r="P79" s="12" t="s">
        <x:v>28</x:v>
      </x:c>
      <x:c r="Q79" s="37">
        <x:v>2316.02</x:v>
      </x:c>
      <x:c r="R79" s="37">
        <x:v>104.08</x:v>
      </x:c>
      <x:c r="S79" s="36" t="n">
        <x:f t="shared" si="10">IF(OR(B79="",N79=""),"",N79-B79)</x:f>
        <x:v>13</x:v>
      </x:c>
      <x:c r="T79" s="36" t="n">
        <x:f t="shared" ca="1" si="11">IF(P79="Cancelado","",IF(P79="Entregue",IF(O79="","",MAX(0,O79-N79)),MAX(0,TODAY()-N79)))</x:f>
        <x:v>2</x:v>
      </x:c>
      <x:c r="U79" s="12" t="str">
        <x:f t="shared" ca="1" si="12">IF(P79="Cancelado","Cancelado",IF(P79="Entregue",IF(T79&gt;0,"Entregue com atraso","Entregue no prazo"),IF(T79&gt;0,"Atrasado","Dentro do prazo")))</x:f>
        <x:v>Entregue com atraso</x:v>
      </x:c>
      <x:c r="V79" s="37" t="n">
        <x:f t="shared" si="13">IF(OR(Q79="",R79=""),"",ROUND(Q79+R79,2))</x:f>
        <x:v>2420.1</x:v>
      </x:c>
      <x:c r="W79" s="37" t="n">
        <x:f t="shared" si="14">IF(OR(M79="",V79=""),"",ROUND(M79-V79,2))</x:f>
        <x:v>1071.32</x:v>
      </x:c>
    </x:row>
    <x:row r="80">
      <x:c r="A80" s="12" t="s">
        <x:v>247</x:v>
      </x:c>
      <x:c r="B80" s="34">
        <x:v>46057</x:v>
      </x:c>
      <x:c r="C80" s="12" t="s">
        <x:v>107</x:v>
      </x:c>
      <x:c r="D80" s="12" t="s">
        <x:v>108</x:v>
      </x:c>
      <x:c r="E80" s="12" t="s">
        <x:v>109</x:v>
      </x:c>
      <x:c r="F80" s="12" t="s">
        <x:v>147</x:v>
      </x:c>
      <x:c r="G80" s="12" t="s">
        <x:v>148</x:v>
      </x:c>
      <x:c r="H80" s="12" t="s">
        <x:v>149</x:v>
      </x:c>
      <x:c r="I80" s="12">
        <x:v>6</x:v>
      </x:c>
      <x:c r="J80" s="37">
        <x:v>459.9</x:v>
      </x:c>
      <x:c r="K80" s="38">
        <x:v>0</x:v>
      </x:c>
      <x:c r="L80" s="37">
        <x:v>2759.4</x:v>
      </x:c>
      <x:c r="M80" s="37">
        <x:v>2759.4</x:v>
      </x:c>
      <x:c r="N80" s="34">
        <x:v>46070</x:v>
      </x:c>
      <x:c r="O80" s="35"/>
      <x:c r="P80" s="12" t="s">
        <x:v>29</x:v>
      </x:c>
      <x:c r="Q80" s="37">
        <x:v>2015.54</x:v>
      </x:c>
      <x:c r="R80" s="37">
        <x:v>90.01</x:v>
      </x:c>
      <x:c r="S80" s="36" t="n">
        <x:f t="shared" si="10">IF(OR(B80="",N80=""),"",N80-B80)</x:f>
        <x:v>13</x:v>
      </x:c>
      <x:c r="T80" s="36" t="str">
        <x:f t="shared" ca="1" si="11">IF(P80="Cancelado","",IF(P80="Entregue",IF(O80="","",MAX(0,O80-N80)),MAX(0,TODAY()-N80)))</x:f>
      </x:c>
      <x:c r="U80" s="12" t="str">
        <x:f t="shared" si="12">IF(P80="Cancelado","Cancelado",IF(P80="Entregue",IF(T80&gt;0,"Entregue com atraso","Entregue no prazo"),IF(T80&gt;0,"Atrasado","Dentro do prazo")))</x:f>
        <x:v>Cancelado</x:v>
      </x:c>
      <x:c r="V80" s="37" t="n">
        <x:f t="shared" si="13">IF(OR(Q80="",R80=""),"",ROUND(Q80+R80,2))</x:f>
        <x:v>2105.55</x:v>
      </x:c>
      <x:c r="W80" s="37" t="n">
        <x:f t="shared" si="14">IF(OR(M80="",V80=""),"",ROUND(M80-V80,2))</x:f>
        <x:v>653.85</x:v>
      </x:c>
    </x:row>
    <x:row r="81">
      <x:c r="A81" s="12" t="s">
        <x:v>248</x:v>
      </x:c>
      <x:c r="B81" s="34">
        <x:v>46216</x:v>
      </x:c>
      <x:c r="C81" s="12" t="s">
        <x:v>217</x:v>
      </x:c>
      <x:c r="D81" s="12" t="s">
        <x:v>218</x:v>
      </x:c>
      <x:c r="E81" s="12" t="s">
        <x:v>130</x:v>
      </x:c>
      <x:c r="F81" s="12" t="s">
        <x:v>124</x:v>
      </x:c>
      <x:c r="G81" s="12" t="s">
        <x:v>125</x:v>
      </x:c>
      <x:c r="H81" s="12" t="s">
        <x:v>126</x:v>
      </x:c>
      <x:c r="I81" s="12">
        <x:v>5</x:v>
      </x:c>
      <x:c r="J81" s="37">
        <x:v>579.9</x:v>
      </x:c>
      <x:c r="K81" s="38">
        <x:v>0</x:v>
      </x:c>
      <x:c r="L81" s="37">
        <x:v>2899.5</x:v>
      </x:c>
      <x:c r="M81" s="37">
        <x:v>2899.5</x:v>
      </x:c>
      <x:c r="N81" s="34">
        <x:v>46224</x:v>
      </x:c>
      <x:c r="O81" s="34">
        <x:v>46224</x:v>
      </x:c>
      <x:c r="P81" s="12" t="s">
        <x:v>28</x:v>
      </x:c>
      <x:c r="Q81" s="37">
        <x:v>1880.94</x:v>
      </x:c>
      <x:c r="R81" s="37">
        <x:v>48.32</x:v>
      </x:c>
      <x:c r="S81" s="36" t="n">
        <x:f t="shared" si="10">IF(OR(B81="",N81=""),"",N81-B81)</x:f>
        <x:v>8</x:v>
      </x:c>
      <x:c r="T81" s="36" t="n">
        <x:f t="shared" ca="1" si="11">IF(P81="Cancelado","",IF(P81="Entregue",IF(O81="","",MAX(0,O81-N81)),MAX(0,TODAY()-N81)))</x:f>
        <x:v>0</x:v>
      </x:c>
      <x:c r="U81" s="12" t="str">
        <x:f t="shared" ca="1" si="12">IF(P81="Cancelado","Cancelado",IF(P81="Entregue",IF(T81&gt;0,"Entregue com atraso","Entregue no prazo"),IF(T81&gt;0,"Atrasado","Dentro do prazo")))</x:f>
        <x:v>Entregue no prazo</x:v>
      </x:c>
      <x:c r="V81" s="37" t="n">
        <x:f t="shared" si="13">IF(OR(Q81="",R81=""),"",ROUND(Q81+R81,2))</x:f>
        <x:v>1929.26</x:v>
      </x:c>
      <x:c r="W81" s="37" t="n">
        <x:f t="shared" si="14">IF(OR(M81="",V81=""),"",ROUND(M81-V81,2))</x:f>
        <x:v>970.24</x:v>
      </x:c>
    </x:row>
    <x:row r="82">
      <x:c r="A82" s="12" t="s">
        <x:v>249</x:v>
      </x:c>
      <x:c r="B82" s="34">
        <x:v>46163</x:v>
      </x:c>
      <x:c r="C82" s="12" t="s">
        <x:v>142</x:v>
      </x:c>
      <x:c r="D82" s="12" t="s">
        <x:v>143</x:v>
      </x:c>
      <x:c r="E82" s="12" t="s">
        <x:v>103</x:v>
      </x:c>
      <x:c r="F82" s="12" t="s">
        <x:v>124</x:v>
      </x:c>
      <x:c r="G82" s="12" t="s">
        <x:v>125</x:v>
      </x:c>
      <x:c r="H82" s="12" t="s">
        <x:v>126</x:v>
      </x:c>
      <x:c r="I82" s="12">
        <x:v>1</x:v>
      </x:c>
      <x:c r="J82" s="37">
        <x:v>579.9</x:v>
      </x:c>
      <x:c r="K82" s="38">
        <x:v>0</x:v>
      </x:c>
      <x:c r="L82" s="37">
        <x:v>579.9</x:v>
      </x:c>
      <x:c r="M82" s="37">
        <x:v>579.9</x:v>
      </x:c>
      <x:c r="N82" s="34">
        <x:v>46176</x:v>
      </x:c>
      <x:c r="O82" s="34">
        <x:v>46175</x:v>
      </x:c>
      <x:c r="P82" s="12" t="s">
        <x:v>28</x:v>
      </x:c>
      <x:c r="Q82" s="37">
        <x:v>418.72</x:v>
      </x:c>
      <x:c r="R82" s="37">
        <x:v>221.91</x:v>
      </x:c>
      <x:c r="S82" s="36" t="n">
        <x:f t="shared" si="10">IF(OR(B82="",N82=""),"",N82-B82)</x:f>
        <x:v>13</x:v>
      </x:c>
      <x:c r="T82" s="36" t="n">
        <x:f t="shared" ca="1" si="11">IF(P82="Cancelado","",IF(P82="Entregue",IF(O82="","",MAX(0,O82-N82)),MAX(0,TODAY()-N82)))</x:f>
        <x:v>0</x:v>
      </x:c>
      <x:c r="U82" s="12" t="str">
        <x:f t="shared" ca="1" si="12">IF(P82="Cancelado","Cancelado",IF(P82="Entregue",IF(T82&gt;0,"Entregue com atraso","Entregue no prazo"),IF(T82&gt;0,"Atrasado","Dentro do prazo")))</x:f>
        <x:v>Entregue no prazo</x:v>
      </x:c>
      <x:c r="V82" s="37" t="n">
        <x:f t="shared" si="13">IF(OR(Q82="",R82=""),"",ROUND(Q82+R82,2))</x:f>
        <x:v>640.63</x:v>
      </x:c>
      <x:c r="W82" s="37" t="n">
        <x:f t="shared" si="14">IF(OR(M82="",V82=""),"",ROUND(M82-V82,2))</x:f>
        <x:v>-60.73</x:v>
      </x:c>
    </x:row>
    <x:row r="83">
      <x:c r="A83" s="12" t="s">
        <x:v>250</x:v>
      </x:c>
      <x:c r="B83" s="34">
        <x:v>46053</x:v>
      </x:c>
      <x:c r="C83" s="12" t="s">
        <x:v>162</x:v>
      </x:c>
      <x:c r="D83" s="12" t="s">
        <x:v>163</x:v>
      </x:c>
      <x:c r="E83" s="12" t="s">
        <x:v>164</x:v>
      </x:c>
      <x:c r="F83" s="12" t="s">
        <x:v>66</x:v>
      </x:c>
      <x:c r="G83" s="12" t="s">
        <x:v>67</x:v>
      </x:c>
      <x:c r="H83" s="12" t="s">
        <x:v>62</x:v>
      </x:c>
      <x:c r="I83" s="12">
        <x:v>5</x:v>
      </x:c>
      <x:c r="J83" s="37">
        <x:v>389.9</x:v>
      </x:c>
      <x:c r="K83" s="38">
        <x:v>0.03</x:v>
      </x:c>
      <x:c r="L83" s="37">
        <x:v>1949.5</x:v>
      </x:c>
      <x:c r="M83" s="37">
        <x:v>1891.01</x:v>
      </x:c>
      <x:c r="N83" s="34">
        <x:v>46065</x:v>
      </x:c>
      <x:c r="O83" s="34">
        <x:v>46064</x:v>
      </x:c>
      <x:c r="P83" s="12" t="s">
        <x:v>28</x:v>
      </x:c>
      <x:c r="Q83" s="37">
        <x:v>1464.55</x:v>
      </x:c>
      <x:c r="R83" s="37">
        <x:v>104.33</x:v>
      </x:c>
      <x:c r="S83" s="36" t="n">
        <x:f t="shared" si="10">IF(OR(B83="",N83=""),"",N83-B83)</x:f>
        <x:v>12</x:v>
      </x:c>
      <x:c r="T83" s="36" t="n">
        <x:f t="shared" ca="1" si="11">IF(P83="Cancelado","",IF(P83="Entregue",IF(O83="","",MAX(0,O83-N83)),MAX(0,TODAY()-N83)))</x:f>
        <x:v>0</x:v>
      </x:c>
      <x:c r="U83" s="12" t="str">
        <x:f t="shared" ca="1" si="12">IF(P83="Cancelado","Cancelado",IF(P83="Entregue",IF(T83&gt;0,"Entregue com atraso","Entregue no prazo"),IF(T83&gt;0,"Atrasado","Dentro do prazo")))</x:f>
        <x:v>Entregue no prazo</x:v>
      </x:c>
      <x:c r="V83" s="37" t="n">
        <x:f t="shared" si="13">IF(OR(Q83="",R83=""),"",ROUND(Q83+R83,2))</x:f>
        <x:v>1568.88</x:v>
      </x:c>
      <x:c r="W83" s="37" t="n">
        <x:f t="shared" si="14">IF(OR(M83="",V83=""),"",ROUND(M83-V83,2))</x:f>
        <x:v>322.13</x:v>
      </x:c>
    </x:row>
    <x:row r="84">
      <x:c r="A84" s="12" t="s">
        <x:v>251</x:v>
      </x:c>
      <x:c r="B84" s="34">
        <x:v>46247</x:v>
      </x:c>
      <x:c r="C84" s="12" t="s">
        <x:v>217</x:v>
      </x:c>
      <x:c r="D84" s="12" t="s">
        <x:v>218</x:v>
      </x:c>
      <x:c r="E84" s="12" t="s">
        <x:v>130</x:v>
      </x:c>
      <x:c r="F84" s="12" t="s">
        <x:v>159</x:v>
      </x:c>
      <x:c r="G84" s="12" t="s">
        <x:v>160</x:v>
      </x:c>
      <x:c r="H84" s="12" t="s">
        <x:v>62</x:v>
      </x:c>
      <x:c r="I84" s="12">
        <x:v>2</x:v>
      </x:c>
      <x:c r="J84" s="37">
        <x:v>329.9</x:v>
      </x:c>
      <x:c r="K84" s="38">
        <x:v>0.03</x:v>
      </x:c>
      <x:c r="L84" s="37">
        <x:v>659.8</x:v>
      </x:c>
      <x:c r="M84" s="37">
        <x:v>640.01</x:v>
      </x:c>
      <x:c r="N84" s="34">
        <x:v>46259</x:v>
      </x:c>
      <x:c r="O84" s="34">
        <x:v>46266</x:v>
      </x:c>
      <x:c r="P84" s="12" t="s">
        <x:v>28</x:v>
      </x:c>
      <x:c r="Q84" s="37">
        <x:v>467.1</x:v>
      </x:c>
      <x:c r="R84" s="37">
        <x:v>80.66</x:v>
      </x:c>
      <x:c r="S84" s="36" t="n">
        <x:f t="shared" si="10">IF(OR(B84="",N84=""),"",N84-B84)</x:f>
        <x:v>12</x:v>
      </x:c>
      <x:c r="T84" s="36" t="n">
        <x:f t="shared" ca="1" si="11">IF(P84="Cancelado","",IF(P84="Entregue",IF(O84="","",MAX(0,O84-N84)),MAX(0,TODAY()-N84)))</x:f>
        <x:v>7</x:v>
      </x:c>
      <x:c r="U84" s="12" t="str">
        <x:f t="shared" ca="1" si="12">IF(P84="Cancelado","Cancelado",IF(P84="Entregue",IF(T84&gt;0,"Entregue com atraso","Entregue no prazo"),IF(T84&gt;0,"Atrasado","Dentro do prazo")))</x:f>
        <x:v>Entregue com atraso</x:v>
      </x:c>
      <x:c r="V84" s="37" t="n">
        <x:f t="shared" si="13">IF(OR(Q84="",R84=""),"",ROUND(Q84+R84,2))</x:f>
        <x:v>547.76</x:v>
      </x:c>
      <x:c r="W84" s="37" t="n">
        <x:f t="shared" si="14">IF(OR(M84="",V84=""),"",ROUND(M84-V84,2))</x:f>
        <x:v>92.25</x:v>
      </x:c>
    </x:row>
    <x:row r="85">
      <x:c r="A85" s="12" t="s">
        <x:v>252</x:v>
      </x:c>
      <x:c r="B85" s="34">
        <x:v>46234</x:v>
      </x:c>
      <x:c r="C85" s="12" t="s">
        <x:v>177</x:v>
      </x:c>
      <x:c r="D85" s="12" t="s">
        <x:v>178</x:v>
      </x:c>
      <x:c r="E85" s="12" t="s">
        <x:v>164</x:v>
      </x:c>
      <x:c r="F85" s="12" t="s">
        <x:v>182</x:v>
      </x:c>
      <x:c r="G85" s="12" t="s">
        <x:v>183</x:v>
      </x:c>
      <x:c r="H85" s="12" t="s">
        <x:v>184</x:v>
      </x:c>
      <x:c r="I85" s="12">
        <x:v>2</x:v>
      </x:c>
      <x:c r="J85" s="37">
        <x:v>1099.9000000000001</x:v>
      </x:c>
      <x:c r="K85" s="38">
        <x:v>0</x:v>
      </x:c>
      <x:c r="L85" s="37">
        <x:v>2199.8000000000002</x:v>
      </x:c>
      <x:c r="M85" s="37">
        <x:v>2199.8000000000002</x:v>
      </x:c>
      <x:c r="N85" s="34">
        <x:v>46240</x:v>
      </x:c>
      <x:c r="O85" s="34">
        <x:v>46241</x:v>
      </x:c>
      <x:c r="P85" s="12" t="s">
        <x:v>28</x:v>
      </x:c>
      <x:c r="Q85" s="37">
        <x:v>1577.28</x:v>
      </x:c>
      <x:c r="R85" s="37">
        <x:v>230.82</x:v>
      </x:c>
      <x:c r="S85" s="36" t="n">
        <x:f t="shared" si="10">IF(OR(B85="",N85=""),"",N85-B85)</x:f>
        <x:v>6</x:v>
      </x:c>
      <x:c r="T85" s="36" t="n">
        <x:f t="shared" ca="1" si="11">IF(P85="Cancelado","",IF(P85="Entregue",IF(O85="","",MAX(0,O85-N85)),MAX(0,TODAY()-N85)))</x:f>
        <x:v>1</x:v>
      </x:c>
      <x:c r="U85" s="12" t="str">
        <x:f t="shared" ca="1" si="12">IF(P85="Cancelado","Cancelado",IF(P85="Entregue",IF(T85&gt;0,"Entregue com atraso","Entregue no prazo"),IF(T85&gt;0,"Atrasado","Dentro do prazo")))</x:f>
        <x:v>Entregue com atraso</x:v>
      </x:c>
      <x:c r="V85" s="37" t="n">
        <x:f t="shared" si="13">IF(OR(Q85="",R85=""),"",ROUND(Q85+R85,2))</x:f>
        <x:v>1808.1</x:v>
      </x:c>
      <x:c r="W85" s="37" t="n">
        <x:f t="shared" si="14">IF(OR(M85="",V85=""),"",ROUND(M85-V85,2))</x:f>
        <x:v>391.7</x:v>
      </x:c>
    </x:row>
    <x:row r="86">
      <x:c r="A86" s="12" t="s">
        <x:v>253</x:v>
      </x:c>
      <x:c r="B86" s="34">
        <x:v>46084</x:v>
      </x:c>
      <x:c r="C86" s="12" t="s">
        <x:v>145</x:v>
      </x:c>
      <x:c r="D86" s="12" t="s">
        <x:v>146</x:v>
      </x:c>
      <x:c r="E86" s="12" t="s">
        <x:v>130</x:v>
      </x:c>
      <x:c r="F86" s="12" t="s">
        <x:v>173</x:v>
      </x:c>
      <x:c r="G86" s="12" t="s">
        <x:v>174</x:v>
      </x:c>
      <x:c r="H86" s="12" t="s">
        <x:v>149</x:v>
      </x:c>
      <x:c r="I86" s="12">
        <x:v>7</x:v>
      </x:c>
      <x:c r="J86" s="37">
        <x:v>289.89999999999998</x:v>
      </x:c>
      <x:c r="K86" s="38">
        <x:v>0.03</x:v>
      </x:c>
      <x:c r="L86" s="37">
        <x:v>2029.3</x:v>
      </x:c>
      <x:c r="M86" s="37">
        <x:v>1968.42</x:v>
      </x:c>
      <x:c r="N86" s="34">
        <x:v>46096</x:v>
      </x:c>
      <x:c r="O86" s="34">
        <x:v>46101</x:v>
      </x:c>
      <x:c r="P86" s="12" t="s">
        <x:v>28</x:v>
      </x:c>
      <x:c r="Q86" s="37">
        <x:v>1532.23</x:v>
      </x:c>
      <x:c r="R86" s="37">
        <x:v>116.76</x:v>
      </x:c>
      <x:c r="S86" s="36" t="n">
        <x:f t="shared" si="10">IF(OR(B86="",N86=""),"",N86-B86)</x:f>
        <x:v>12</x:v>
      </x:c>
      <x:c r="T86" s="36" t="n">
        <x:f t="shared" ca="1" si="11">IF(P86="Cancelado","",IF(P86="Entregue",IF(O86="","",MAX(0,O86-N86)),MAX(0,TODAY()-N86)))</x:f>
        <x:v>5</x:v>
      </x:c>
      <x:c r="U86" s="12" t="str">
        <x:f t="shared" ca="1" si="12">IF(P86="Cancelado","Cancelado",IF(P86="Entregue",IF(T86&gt;0,"Entregue com atraso","Entregue no prazo"),IF(T86&gt;0,"Atrasado","Dentro do prazo")))</x:f>
        <x:v>Entregue com atraso</x:v>
      </x:c>
      <x:c r="V86" s="37" t="n">
        <x:f t="shared" si="13">IF(OR(Q86="",R86=""),"",ROUND(Q86+R86,2))</x:f>
        <x:v>1648.99</x:v>
      </x:c>
      <x:c r="W86" s="37" t="n">
        <x:f t="shared" si="14">IF(OR(M86="",V86=""),"",ROUND(M86-V86,2))</x:f>
        <x:v>319.43</x:v>
      </x:c>
    </x:row>
    <x:row r="87">
      <x:c r="A87" s="12" t="s">
        <x:v>254</x:v>
      </x:c>
      <x:c r="B87" s="34">
        <x:v>46185</x:v>
      </x:c>
      <x:c r="C87" s="12" t="s">
        <x:v>79</x:v>
      </x:c>
      <x:c r="D87" s="12" t="s">
        <x:v>80</x:v>
      </x:c>
      <x:c r="E87" s="12" t="s">
        <x:v>81</x:v>
      </x:c>
      <x:c r="F87" s="12" t="s">
        <x:v>60</x:v>
      </x:c>
      <x:c r="G87" s="12" t="s">
        <x:v>61</x:v>
      </x:c>
      <x:c r="H87" s="12" t="s">
        <x:v>62</x:v>
      </x:c>
      <x:c r="I87" s="12">
        <x:v>2</x:v>
      </x:c>
      <x:c r="J87" s="37">
        <x:v>849.9</x:v>
      </x:c>
      <x:c r="K87" s="38">
        <x:v>0</x:v>
      </x:c>
      <x:c r="L87" s="37">
        <x:v>1699.8</x:v>
      </x:c>
      <x:c r="M87" s="37">
        <x:v>1699.8</x:v>
      </x:c>
      <x:c r="N87" s="34">
        <x:v>46200</x:v>
      </x:c>
      <x:c r="O87" s="34">
        <x:v>46207</x:v>
      </x:c>
      <x:c r="P87" s="12" t="s">
        <x:v>28</x:v>
      </x:c>
      <x:c r="Q87" s="37">
        <x:v>1075.96</x:v>
      </x:c>
      <x:c r="R87" s="37">
        <x:v>101.37</x:v>
      </x:c>
      <x:c r="S87" s="36" t="n">
        <x:f t="shared" si="10">IF(OR(B87="",N87=""),"",N87-B87)</x:f>
        <x:v>15</x:v>
      </x:c>
      <x:c r="T87" s="36" t="n">
        <x:f t="shared" ca="1" si="11">IF(P87="Cancelado","",IF(P87="Entregue",IF(O87="","",MAX(0,O87-N87)),MAX(0,TODAY()-N87)))</x:f>
        <x:v>7</x:v>
      </x:c>
      <x:c r="U87" s="12" t="str">
        <x:f t="shared" ca="1" si="12">IF(P87="Cancelado","Cancelado",IF(P87="Entregue",IF(T87&gt;0,"Entregue com atraso","Entregue no prazo"),IF(T87&gt;0,"Atrasado","Dentro do prazo")))</x:f>
        <x:v>Entregue com atraso</x:v>
      </x:c>
      <x:c r="V87" s="37" t="n">
        <x:f t="shared" si="13">IF(OR(Q87="",R87=""),"",ROUND(Q87+R87,2))</x:f>
        <x:v>1177.33</x:v>
      </x:c>
      <x:c r="W87" s="37" t="n">
        <x:f t="shared" si="14">IF(OR(M87="",V87=""),"",ROUND(M87-V87,2))</x:f>
        <x:v>522.47</x:v>
      </x:c>
    </x:row>
    <x:row r="88">
      <x:c r="A88" s="12" t="s">
        <x:v>255</x:v>
      </x:c>
      <x:c r="B88" s="34">
        <x:v>46168</x:v>
      </x:c>
      <x:c r="C88" s="12" t="s">
        <x:v>69</x:v>
      </x:c>
      <x:c r="D88" s="12" t="s">
        <x:v>70</x:v>
      </x:c>
      <x:c r="E88" s="12" t="s">
        <x:v>71</x:v>
      </x:c>
      <x:c r="F88" s="12" t="s">
        <x:v>88</x:v>
      </x:c>
      <x:c r="G88" s="12" t="s">
        <x:v>89</x:v>
      </x:c>
      <x:c r="H88" s="12" t="s">
        <x:v>90</x:v>
      </x:c>
      <x:c r="I88" s="12">
        <x:v>1</x:v>
      </x:c>
      <x:c r="J88" s="37">
        <x:v>649.9</x:v>
      </x:c>
      <x:c r="K88" s="38">
        <x:v>0.03</x:v>
      </x:c>
      <x:c r="L88" s="37">
        <x:v>649.9</x:v>
      </x:c>
      <x:c r="M88" s="37">
        <x:v>630.4</x:v>
      </x:c>
      <x:c r="N88" s="34">
        <x:v>46180</x:v>
      </x:c>
      <x:c r="O88" s="34">
        <x:v>46182</x:v>
      </x:c>
      <x:c r="P88" s="12" t="s">
        <x:v>28</x:v>
      </x:c>
      <x:c r="Q88" s="37">
        <x:v>420.23</x:v>
      </x:c>
      <x:c r="R88" s="37">
        <x:v>99.4</x:v>
      </x:c>
      <x:c r="S88" s="36" t="n">
        <x:f t="shared" si="10">IF(OR(B88="",N88=""),"",N88-B88)</x:f>
        <x:v>12</x:v>
      </x:c>
      <x:c r="T88" s="36" t="n">
        <x:f t="shared" ca="1" si="11">IF(P88="Cancelado","",IF(P88="Entregue",IF(O88="","",MAX(0,O88-N88)),MAX(0,TODAY()-N88)))</x:f>
        <x:v>2</x:v>
      </x:c>
      <x:c r="U88" s="12" t="str">
        <x:f t="shared" ca="1" si="12">IF(P88="Cancelado","Cancelado",IF(P88="Entregue",IF(T88&gt;0,"Entregue com atraso","Entregue no prazo"),IF(T88&gt;0,"Atrasado","Dentro do prazo")))</x:f>
        <x:v>Entregue com atraso</x:v>
      </x:c>
      <x:c r="V88" s="37" t="n">
        <x:f t="shared" si="13">IF(OR(Q88="",R88=""),"",ROUND(Q88+R88,2))</x:f>
        <x:v>519.63</x:v>
      </x:c>
      <x:c r="W88" s="37" t="n">
        <x:f t="shared" si="14">IF(OR(M88="",V88=""),"",ROUND(M88-V88,2))</x:f>
        <x:v>110.77</x:v>
      </x:c>
    </x:row>
    <x:row r="89">
      <x:c r="A89" s="12" t="s">
        <x:v>256</x:v>
      </x:c>
      <x:c r="B89" s="34">
        <x:v>46207</x:v>
      </x:c>
      <x:c r="C89" s="12" t="s">
        <x:v>168</x:v>
      </x:c>
      <x:c r="D89" s="12" t="s">
        <x:v>169</x:v>
      </x:c>
      <x:c r="E89" s="12" t="s">
        <x:v>164</x:v>
      </x:c>
      <x:c r="F89" s="12" t="s">
        <x:v>221</x:v>
      </x:c>
      <x:c r="G89" s="12" t="s">
        <x:v>222</x:v>
      </x:c>
      <x:c r="H89" s="12" t="s">
        <x:v>113</x:v>
      </x:c>
      <x:c r="I89" s="12">
        <x:v>2</x:v>
      </x:c>
      <x:c r="J89" s="37">
        <x:v>499.9</x:v>
      </x:c>
      <x:c r="K89" s="38">
        <x:v>0.08</x:v>
      </x:c>
      <x:c r="L89" s="37">
        <x:v>999.8</x:v>
      </x:c>
      <x:c r="M89" s="37">
        <x:v>919.82</x:v>
      </x:c>
      <x:c r="N89" s="34">
        <x:v>46215</x:v>
      </x:c>
      <x:c r="O89" s="35"/>
      <x:c r="P89" s="12" t="s">
        <x:v>27</x:v>
      </x:c>
      <x:c r="Q89" s="37">
        <x:v>686.23</x:v>
      </x:c>
      <x:c r="R89" s="37">
        <x:v>191.89</x:v>
      </x:c>
      <x:c r="S89" s="36" t="n">
        <x:f t="shared" si="10">IF(OR(B89="",N89=""),"",N89-B89)</x:f>
        <x:v>8</x:v>
      </x:c>
      <x:c r="T89" s="36" t="n">
        <x:f t="shared" ca="1" si="11">IF(P89="Cancelado","",IF(P89="Entregue",IF(O89="","",MAX(0,O89-N89)),MAX(0,TODAY()-N89)))</x:f>
        <x:v>65</x:v>
      </x:c>
      <x:c r="U89" s="12" t="str">
        <x:f t="shared" ca="1" si="12">IF(P89="Cancelado","Cancelado",IF(P89="Entregue",IF(T89&gt;0,"Entregue com atraso","Entregue no prazo"),IF(T89&gt;0,"Atrasado","Dentro do prazo")))</x:f>
        <x:v>Atrasado</x:v>
      </x:c>
      <x:c r="V89" s="37" t="n">
        <x:f t="shared" si="13">IF(OR(Q89="",R89=""),"",ROUND(Q89+R89,2))</x:f>
        <x:v>878.12</x:v>
      </x:c>
      <x:c r="W89" s="37" t="n">
        <x:f t="shared" si="14">IF(OR(M89="",V89=""),"",ROUND(M89-V89,2))</x:f>
        <x:v>41.7</x:v>
      </x:c>
    </x:row>
    <x:row r="90">
      <x:c r="A90" s="12" t="s">
        <x:v>257</x:v>
      </x:c>
      <x:c r="B90" s="34">
        <x:v>46196</x:v>
      </x:c>
      <x:c r="C90" s="12" t="s">
        <x:v>64</x:v>
      </x:c>
      <x:c r="D90" s="12" t="s">
        <x:v>65</x:v>
      </x:c>
      <x:c r="E90" s="12" t="s">
        <x:v>59</x:v>
      </x:c>
      <x:c r="F90" s="12" t="s">
        <x:v>147</x:v>
      </x:c>
      <x:c r="G90" s="12" t="s">
        <x:v>148</x:v>
      </x:c>
      <x:c r="H90" s="12" t="s">
        <x:v>149</x:v>
      </x:c>
      <x:c r="I90" s="12">
        <x:v>7</x:v>
      </x:c>
      <x:c r="J90" s="37">
        <x:v>459.9</x:v>
      </x:c>
      <x:c r="K90" s="38">
        <x:v>0</x:v>
      </x:c>
      <x:c r="L90" s="37">
        <x:v>3219.3</x:v>
      </x:c>
      <x:c r="M90" s="37">
        <x:v>3219.3</x:v>
      </x:c>
      <x:c r="N90" s="34">
        <x:v>46209</x:v>
      </x:c>
      <x:c r="O90" s="34">
        <x:v>46208</x:v>
      </x:c>
      <x:c r="P90" s="12" t="s">
        <x:v>28</x:v>
      </x:c>
      <x:c r="Q90" s="37">
        <x:v>2463.88</x:v>
      </x:c>
      <x:c r="R90" s="37">
        <x:v>239.26</x:v>
      </x:c>
      <x:c r="S90" s="36" t="n">
        <x:f t="shared" si="10">IF(OR(B90="",N90=""),"",N90-B90)</x:f>
        <x:v>13</x:v>
      </x:c>
      <x:c r="T90" s="36" t="n">
        <x:f t="shared" ca="1" si="11">IF(P90="Cancelado","",IF(P90="Entregue",IF(O90="","",MAX(0,O90-N90)),MAX(0,TODAY()-N90)))</x:f>
        <x:v>0</x:v>
      </x:c>
      <x:c r="U90" s="12" t="str">
        <x:f t="shared" ca="1" si="12">IF(P90="Cancelado","Cancelado",IF(P90="Entregue",IF(T90&gt;0,"Entregue com atraso","Entregue no prazo"),IF(T90&gt;0,"Atrasado","Dentro do prazo")))</x:f>
        <x:v>Entregue no prazo</x:v>
      </x:c>
      <x:c r="V90" s="37" t="n">
        <x:f t="shared" si="13">IF(OR(Q90="",R90=""),"",ROUND(Q90+R90,2))</x:f>
        <x:v>2703.14</x:v>
      </x:c>
      <x:c r="W90" s="37" t="n">
        <x:f t="shared" si="14">IF(OR(M90="",V90=""),"",ROUND(M90-V90,2))</x:f>
        <x:v>516.16</x:v>
      </x:c>
    </x:row>
    <x:row r="91">
      <x:c r="A91" s="12" t="s">
        <x:v>258</x:v>
      </x:c>
      <x:c r="B91" s="34">
        <x:v>46045</x:v>
      </x:c>
      <x:c r="C91" s="12" t="s">
        <x:v>79</x:v>
      </x:c>
      <x:c r="D91" s="12" t="s">
        <x:v>80</x:v>
      </x:c>
      <x:c r="E91" s="12" t="s">
        <x:v>81</x:v>
      </x:c>
      <x:c r="F91" s="12" t="s">
        <x:v>88</x:v>
      </x:c>
      <x:c r="G91" s="12" t="s">
        <x:v>89</x:v>
      </x:c>
      <x:c r="H91" s="12" t="s">
        <x:v>90</x:v>
      </x:c>
      <x:c r="I91" s="12">
        <x:v>5</x:v>
      </x:c>
      <x:c r="J91" s="37">
        <x:v>649.9</x:v>
      </x:c>
      <x:c r="K91" s="38">
        <x:v>0.05</x:v>
      </x:c>
      <x:c r="L91" s="37">
        <x:v>3249.5</x:v>
      </x:c>
      <x:c r="M91" s="37">
        <x:v>3087.02</x:v>
      </x:c>
      <x:c r="N91" s="34">
        <x:v>46059</x:v>
      </x:c>
      <x:c r="O91" s="35"/>
      <x:c r="P91" s="12" t="s">
        <x:v>27</x:v>
      </x:c>
      <x:c r="Q91" s="37">
        <x:v>2130.86</x:v>
      </x:c>
      <x:c r="R91" s="37">
        <x:v>155.13999999999999</x:v>
      </x:c>
      <x:c r="S91" s="36" t="n">
        <x:f t="shared" si="10">IF(OR(B91="",N91=""),"",N91-B91)</x:f>
        <x:v>14</x:v>
      </x:c>
      <x:c r="T91" s="36" t="n">
        <x:f t="shared" ca="1" si="11">IF(P91="Cancelado","",IF(P91="Entregue",IF(O91="","",MAX(0,O91-N91)),MAX(0,TODAY()-N91)))</x:f>
        <x:v>221</x:v>
      </x:c>
      <x:c r="U91" s="12" t="str">
        <x:f t="shared" ca="1" si="12">IF(P91="Cancelado","Cancelado",IF(P91="Entregue",IF(T91&gt;0,"Entregue com atraso","Entregue no prazo"),IF(T91&gt;0,"Atrasado","Dentro do prazo")))</x:f>
        <x:v>Atrasado</x:v>
      </x:c>
      <x:c r="V91" s="37" t="n">
        <x:f t="shared" si="13">IF(OR(Q91="",R91=""),"",ROUND(Q91+R91,2))</x:f>
        <x:v>2286</x:v>
      </x:c>
      <x:c r="W91" s="37" t="n">
        <x:f t="shared" si="14">IF(OR(M91="",V91=""),"",ROUND(M91-V91,2))</x:f>
        <x:v>801.02</x:v>
      </x:c>
    </x:row>
    <x:row r="92">
      <x:c r="A92" s="12" t="s">
        <x:v>259</x:v>
      </x:c>
      <x:c r="B92" s="34">
        <x:v>46104</x:v>
      </x:c>
      <x:c r="C92" s="12" t="s">
        <x:v>101</x:v>
      </x:c>
      <x:c r="D92" s="12" t="s">
        <x:v>102</x:v>
      </x:c>
      <x:c r="E92" s="12" t="s">
        <x:v>103</x:v>
      </x:c>
      <x:c r="F92" s="12" t="s">
        <x:v>72</x:v>
      </x:c>
      <x:c r="G92" s="12" t="s">
        <x:v>73</x:v>
      </x:c>
      <x:c r="H92" s="12" t="s">
        <x:v>74</x:v>
      </x:c>
      <x:c r="I92" s="12">
        <x:v>5</x:v>
      </x:c>
      <x:c r="J92" s="37">
        <x:v>1349.9</x:v>
      </x:c>
      <x:c r="K92" s="38">
        <x:v>0.05</x:v>
      </x:c>
      <x:c r="L92" s="37">
        <x:v>6749.5</x:v>
      </x:c>
      <x:c r="M92" s="37">
        <x:v>6412.02</x:v>
      </x:c>
      <x:c r="N92" s="34">
        <x:v>46117</x:v>
      </x:c>
      <x:c r="O92" s="34">
        <x:v>46115</x:v>
      </x:c>
      <x:c r="P92" s="12" t="s">
        <x:v>28</x:v>
      </x:c>
      <x:c r="Q92" s="37">
        <x:v>4588.99</x:v>
      </x:c>
      <x:c r="R92" s="37">
        <x:v>254.01</x:v>
      </x:c>
      <x:c r="S92" s="36" t="n">
        <x:f t="shared" si="10">IF(OR(B92="",N92=""),"",N92-B92)</x:f>
        <x:v>13</x:v>
      </x:c>
      <x:c r="T92" s="36" t="n">
        <x:f t="shared" ca="1" si="11">IF(P92="Cancelado","",IF(P92="Entregue",IF(O92="","",MAX(0,O92-N92)),MAX(0,TODAY()-N92)))</x:f>
        <x:v>0</x:v>
      </x:c>
      <x:c r="U92" s="12" t="str">
        <x:f t="shared" ca="1" si="12">IF(P92="Cancelado","Cancelado",IF(P92="Entregue",IF(T92&gt;0,"Entregue com atraso","Entregue no prazo"),IF(T92&gt;0,"Atrasado","Dentro do prazo")))</x:f>
        <x:v>Entregue no prazo</x:v>
      </x:c>
      <x:c r="V92" s="37" t="n">
        <x:f t="shared" si="13">IF(OR(Q92="",R92=""),"",ROUND(Q92+R92,2))</x:f>
        <x:v>4843</x:v>
      </x:c>
      <x:c r="W92" s="37" t="n">
        <x:f t="shared" si="14">IF(OR(M92="",V92=""),"",ROUND(M92-V92,2))</x:f>
        <x:v>1569.02</x:v>
      </x:c>
    </x:row>
    <x:row r="93">
      <x:c r="A93" s="12" t="s">
        <x:v>260</x:v>
      </x:c>
      <x:c r="B93" s="34">
        <x:v>46215</x:v>
      </x:c>
      <x:c r="C93" s="12" t="s">
        <x:v>134</x:v>
      </x:c>
      <x:c r="D93" s="12" t="s">
        <x:v>135</x:v>
      </x:c>
      <x:c r="E93" s="12" t="s">
        <x:v>81</x:v>
      </x:c>
      <x:c r="F93" s="12" t="s">
        <x:v>60</x:v>
      </x:c>
      <x:c r="G93" s="12" t="s">
        <x:v>61</x:v>
      </x:c>
      <x:c r="H93" s="12" t="s">
        <x:v>62</x:v>
      </x:c>
      <x:c r="I93" s="12">
        <x:v>5</x:v>
      </x:c>
      <x:c r="J93" s="37">
        <x:v>849.9</x:v>
      </x:c>
      <x:c r="K93" s="38">
        <x:v>0</x:v>
      </x:c>
      <x:c r="L93" s="37">
        <x:v>4249.5</x:v>
      </x:c>
      <x:c r="M93" s="37">
        <x:v>4249.5</x:v>
      </x:c>
      <x:c r="N93" s="34">
        <x:v>46221</x:v>
      </x:c>
      <x:c r="O93" s="34">
        <x:v>46228</x:v>
      </x:c>
      <x:c r="P93" s="12" t="s">
        <x:v>28</x:v>
      </x:c>
      <x:c r="Q93" s="37">
        <x:v>3203.07</x:v>
      </x:c>
      <x:c r="R93" s="37">
        <x:v>180.17</x:v>
      </x:c>
      <x:c r="S93" s="36" t="n">
        <x:f t="shared" si="10">IF(OR(B93="",N93=""),"",N93-B93)</x:f>
        <x:v>6</x:v>
      </x:c>
      <x:c r="T93" s="36" t="n">
        <x:f t="shared" ca="1" si="11">IF(P93="Cancelado","",IF(P93="Entregue",IF(O93="","",MAX(0,O93-N93)),MAX(0,TODAY()-N93)))</x:f>
        <x:v>7</x:v>
      </x:c>
      <x:c r="U93" s="12" t="str">
        <x:f t="shared" ca="1" si="12">IF(P93="Cancelado","Cancelado",IF(P93="Entregue",IF(T93&gt;0,"Entregue com atraso","Entregue no prazo"),IF(T93&gt;0,"Atrasado","Dentro do prazo")))</x:f>
        <x:v>Entregue com atraso</x:v>
      </x:c>
      <x:c r="V93" s="37" t="n">
        <x:f t="shared" si="13">IF(OR(Q93="",R93=""),"",ROUND(Q93+R93,2))</x:f>
        <x:v>3383.24</x:v>
      </x:c>
      <x:c r="W93" s="37" t="n">
        <x:f t="shared" si="14">IF(OR(M93="",V93=""),"",ROUND(M93-V93,2))</x:f>
        <x:v>866.26</x:v>
      </x:c>
    </x:row>
    <x:row r="94">
      <x:c r="A94" s="12" t="s">
        <x:v>261</x:v>
      </x:c>
      <x:c r="B94" s="34">
        <x:v>46032</x:v>
      </x:c>
      <x:c r="C94" s="12" t="s">
        <x:v>145</x:v>
      </x:c>
      <x:c r="D94" s="12" t="s">
        <x:v>146</x:v>
      </x:c>
      <x:c r="E94" s="12" t="s">
        <x:v>130</x:v>
      </x:c>
      <x:c r="F94" s="12" t="s">
        <x:v>124</x:v>
      </x:c>
      <x:c r="G94" s="12" t="s">
        <x:v>125</x:v>
      </x:c>
      <x:c r="H94" s="12" t="s">
        <x:v>126</x:v>
      </x:c>
      <x:c r="I94" s="12">
        <x:v>1</x:v>
      </x:c>
      <x:c r="J94" s="37">
        <x:v>579.9</x:v>
      </x:c>
      <x:c r="K94" s="38">
        <x:v>0</x:v>
      </x:c>
      <x:c r="L94" s="37">
        <x:v>579.9</x:v>
      </x:c>
      <x:c r="M94" s="37">
        <x:v>579.9</x:v>
      </x:c>
      <x:c r="N94" s="34">
        <x:v>46044</x:v>
      </x:c>
      <x:c r="O94" s="34">
        <x:v>46046</x:v>
      </x:c>
      <x:c r="P94" s="12" t="s">
        <x:v>28</x:v>
      </x:c>
      <x:c r="Q94" s="37">
        <x:v>444.53</x:v>
      </x:c>
      <x:c r="R94" s="37">
        <x:v>87.65</x:v>
      </x:c>
      <x:c r="S94" s="36" t="n">
        <x:f t="shared" si="10">IF(OR(B94="",N94=""),"",N94-B94)</x:f>
        <x:v>12</x:v>
      </x:c>
      <x:c r="T94" s="36" t="n">
        <x:f t="shared" ca="1" si="11">IF(P94="Cancelado","",IF(P94="Entregue",IF(O94="","",MAX(0,O94-N94)),MAX(0,TODAY()-N94)))</x:f>
        <x:v>2</x:v>
      </x:c>
      <x:c r="U94" s="12" t="str">
        <x:f t="shared" ca="1" si="12">IF(P94="Cancelado","Cancelado",IF(P94="Entregue",IF(T94&gt;0,"Entregue com atraso","Entregue no prazo"),IF(T94&gt;0,"Atrasado","Dentro do prazo")))</x:f>
        <x:v>Entregue com atraso</x:v>
      </x:c>
      <x:c r="V94" s="37" t="n">
        <x:f t="shared" si="13">IF(OR(Q94="",R94=""),"",ROUND(Q94+R94,2))</x:f>
        <x:v>532.18</x:v>
      </x:c>
      <x:c r="W94" s="37" t="n">
        <x:f t="shared" si="14">IF(OR(M94="",V94=""),"",ROUND(M94-V94,2))</x:f>
        <x:v>47.72</x:v>
      </x:c>
    </x:row>
    <x:row r="95">
      <x:c r="A95" s="12" t="s">
        <x:v>262</x:v>
      </x:c>
      <x:c r="B95" s="34">
        <x:v>46176</x:v>
      </x:c>
      <x:c r="C95" s="12" t="s">
        <x:v>193</x:v>
      </x:c>
      <x:c r="D95" s="12" t="s">
        <x:v>194</x:v>
      </x:c>
      <x:c r="E95" s="12" t="s">
        <x:v>103</x:v>
      </x:c>
      <x:c r="F95" s="12" t="s">
        <x:v>111</x:v>
      </x:c>
      <x:c r="G95" s="12" t="s">
        <x:v>112</x:v>
      </x:c>
      <x:c r="H95" s="12" t="s">
        <x:v>113</x:v>
      </x:c>
      <x:c r="I95" s="12">
        <x:v>2</x:v>
      </x:c>
      <x:c r="J95" s="37">
        <x:v>599.9</x:v>
      </x:c>
      <x:c r="K95" s="38">
        <x:v>0.03</x:v>
      </x:c>
      <x:c r="L95" s="37">
        <x:v>1199.8</x:v>
      </x:c>
      <x:c r="M95" s="37">
        <x:v>1163.81</x:v>
      </x:c>
      <x:c r="N95" s="34">
        <x:v>46186</x:v>
      </x:c>
      <x:c r="O95" s="34">
        <x:v>46186</x:v>
      </x:c>
      <x:c r="P95" s="12" t="s">
        <x:v>28</x:v>
      </x:c>
      <x:c r="Q95" s="37">
        <x:v>846.35</x:v>
      </x:c>
      <x:c r="R95" s="37">
        <x:v>246.57</x:v>
      </x:c>
      <x:c r="S95" s="36" t="n">
        <x:f t="shared" si="10">IF(OR(B95="",N95=""),"",N95-B95)</x:f>
        <x:v>10</x:v>
      </x:c>
      <x:c r="T95" s="36" t="n">
        <x:f t="shared" ca="1" si="11">IF(P95="Cancelado","",IF(P95="Entregue",IF(O95="","",MAX(0,O95-N95)),MAX(0,TODAY()-N95)))</x:f>
        <x:v>0</x:v>
      </x:c>
      <x:c r="U95" s="12" t="str">
        <x:f t="shared" ca="1" si="12">IF(P95="Cancelado","Cancelado",IF(P95="Entregue",IF(T95&gt;0,"Entregue com atraso","Entregue no prazo"),IF(T95&gt;0,"Atrasado","Dentro do prazo")))</x:f>
        <x:v>Entregue no prazo</x:v>
      </x:c>
      <x:c r="V95" s="37" t="n">
        <x:f t="shared" si="13">IF(OR(Q95="",R95=""),"",ROUND(Q95+R95,2))</x:f>
        <x:v>1092.92</x:v>
      </x:c>
      <x:c r="W95" s="37" t="n">
        <x:f t="shared" si="14">IF(OR(M95="",V95=""),"",ROUND(M95-V95,2))</x:f>
        <x:v>70.89</x:v>
      </x:c>
    </x:row>
    <x:row r="96">
      <x:c r="A96" s="12" t="s">
        <x:v>263</x:v>
      </x:c>
      <x:c r="B96" s="34">
        <x:v>46111</x:v>
      </x:c>
      <x:c r="C96" s="12" t="s">
        <x:v>193</x:v>
      </x:c>
      <x:c r="D96" s="12" t="s">
        <x:v>194</x:v>
      </x:c>
      <x:c r="E96" s="12" t="s">
        <x:v>103</x:v>
      </x:c>
      <x:c r="F96" s="12" t="s">
        <x:v>111</x:v>
      </x:c>
      <x:c r="G96" s="12" t="s">
        <x:v>112</x:v>
      </x:c>
      <x:c r="H96" s="12" t="s">
        <x:v>113</x:v>
      </x:c>
      <x:c r="I96" s="12">
        <x:v>5</x:v>
      </x:c>
      <x:c r="J96" s="37">
        <x:v>599.9</x:v>
      </x:c>
      <x:c r="K96" s="38">
        <x:v>0.08</x:v>
      </x:c>
      <x:c r="L96" s="37">
        <x:v>2999.5</x:v>
      </x:c>
      <x:c r="M96" s="37">
        <x:v>2759.54</x:v>
      </x:c>
      <x:c r="N96" s="34">
        <x:v>46122</x:v>
      </x:c>
      <x:c r="O96" s="35"/>
      <x:c r="P96" s="12" t="s">
        <x:v>27</x:v>
      </x:c>
      <x:c r="Q96" s="37">
        <x:v>1953.8</x:v>
      </x:c>
      <x:c r="R96" s="37">
        <x:v>151.88</x:v>
      </x:c>
      <x:c r="S96" s="36" t="n">
        <x:f t="shared" si="10">IF(OR(B96="",N96=""),"",N96-B96)</x:f>
        <x:v>11</x:v>
      </x:c>
      <x:c r="T96" s="36" t="n">
        <x:f t="shared" ca="1" si="11">IF(P96="Cancelado","",IF(P96="Entregue",IF(O96="","",MAX(0,O96-N96)),MAX(0,TODAY()-N96)))</x:f>
        <x:v>158</x:v>
      </x:c>
      <x:c r="U96" s="12" t="str">
        <x:f t="shared" ca="1" si="12">IF(P96="Cancelado","Cancelado",IF(P96="Entregue",IF(T96&gt;0,"Entregue com atraso","Entregue no prazo"),IF(T96&gt;0,"Atrasado","Dentro do prazo")))</x:f>
        <x:v>Atrasado</x:v>
      </x:c>
      <x:c r="V96" s="37" t="n">
        <x:f t="shared" si="13">IF(OR(Q96="",R96=""),"",ROUND(Q96+R96,2))</x:f>
        <x:v>2105.68</x:v>
      </x:c>
      <x:c r="W96" s="37" t="n">
        <x:f t="shared" si="14">IF(OR(M96="",V96=""),"",ROUND(M96-V96,2))</x:f>
        <x:v>653.86</x:v>
      </x:c>
    </x:row>
    <x:row r="97">
      <x:c r="A97" s="12" t="s">
        <x:v>264</x:v>
      </x:c>
      <x:c r="B97" s="34">
        <x:v>46107</x:v>
      </x:c>
      <x:c r="C97" s="12" t="s">
        <x:v>210</x:v>
      </x:c>
      <x:c r="D97" s="12" t="s">
        <x:v>211</x:v>
      </x:c>
      <x:c r="E97" s="12" t="s">
        <x:v>94</x:v>
      </x:c>
      <x:c r="F97" s="12" t="s">
        <x:v>104</x:v>
      </x:c>
      <x:c r="G97" s="12" t="s">
        <x:v>105</x:v>
      </x:c>
      <x:c r="H97" s="12" t="s">
        <x:v>74</x:v>
      </x:c>
      <x:c r="I97" s="12">
        <x:v>2</x:v>
      </x:c>
      <x:c r="J97" s="37">
        <x:v>699.9</x:v>
      </x:c>
      <x:c r="K97" s="38">
        <x:v>0.03</x:v>
      </x:c>
      <x:c r="L97" s="37">
        <x:v>1399.8</x:v>
      </x:c>
      <x:c r="M97" s="37">
        <x:v>1357.81</x:v>
      </x:c>
      <x:c r="N97" s="34">
        <x:v>46120</x:v>
      </x:c>
      <x:c r="O97" s="35"/>
      <x:c r="P97" s="12" t="s">
        <x:v>27</x:v>
      </x:c>
      <x:c r="Q97" s="37">
        <x:v>842.09</x:v>
      </x:c>
      <x:c r="R97" s="37">
        <x:v>249.3</x:v>
      </x:c>
      <x:c r="S97" s="36" t="n">
        <x:f t="shared" si="10">IF(OR(B97="",N97=""),"",N97-B97)</x:f>
        <x:v>13</x:v>
      </x:c>
      <x:c r="T97" s="36" t="n">
        <x:f t="shared" ca="1" si="11">IF(P97="Cancelado","",IF(P97="Entregue",IF(O97="","",MAX(0,O97-N97)),MAX(0,TODAY()-N97)))</x:f>
        <x:v>160</x:v>
      </x:c>
      <x:c r="U97" s="12" t="str">
        <x:f t="shared" ca="1" si="12">IF(P97="Cancelado","Cancelado",IF(P97="Entregue",IF(T97&gt;0,"Entregue com atraso","Entregue no prazo"),IF(T97&gt;0,"Atrasado","Dentro do prazo")))</x:f>
        <x:v>Atrasado</x:v>
      </x:c>
      <x:c r="V97" s="37" t="n">
        <x:f t="shared" si="13">IF(OR(Q97="",R97=""),"",ROUND(Q97+R97,2))</x:f>
        <x:v>1091.39</x:v>
      </x:c>
      <x:c r="W97" s="37" t="n">
        <x:f t="shared" si="14">IF(OR(M97="",V97=""),"",ROUND(M97-V97,2))</x:f>
        <x:v>266.42</x:v>
      </x:c>
    </x:row>
    <x:row r="98">
      <x:c r="A98" s="12" t="s">
        <x:v>265</x:v>
      </x:c>
      <x:c r="B98" s="34">
        <x:v>46145</x:v>
      </x:c>
      <x:c r="C98" s="12" t="s">
        <x:v>193</x:v>
      </x:c>
      <x:c r="D98" s="12" t="s">
        <x:v>194</x:v>
      </x:c>
      <x:c r="E98" s="12" t="s">
        <x:v>103</x:v>
      </x:c>
      <x:c r="F98" s="12" t="s">
        <x:v>98</x:v>
      </x:c>
      <x:c r="G98" s="12" t="s">
        <x:v>99</x:v>
      </x:c>
      <x:c r="H98" s="12" t="s">
        <x:v>62</x:v>
      </x:c>
      <x:c r="I98" s="12">
        <x:v>4</x:v>
      </x:c>
      <x:c r="J98" s="37">
        <x:v>749.9</x:v>
      </x:c>
      <x:c r="K98" s="38">
        <x:v>0.05</x:v>
      </x:c>
      <x:c r="L98" s="37">
        <x:v>2999.6</x:v>
      </x:c>
      <x:c r="M98" s="37">
        <x:v>2849.62</x:v>
      </x:c>
      <x:c r="N98" s="34">
        <x:v>46155</x:v>
      </x:c>
      <x:c r="O98" s="34">
        <x:v>46157</x:v>
      </x:c>
      <x:c r="P98" s="12" t="s">
        <x:v>28</x:v>
      </x:c>
      <x:c r="Q98" s="37">
        <x:v>2051.91</x:v>
      </x:c>
      <x:c r="R98" s="37">
        <x:v>223.6</x:v>
      </x:c>
      <x:c r="S98" s="36" t="n">
        <x:f t="shared" ref="S98:S121" si="15">IF(OR(B98="",N98=""),"",N98-B98)</x:f>
        <x:v>10</x:v>
      </x:c>
      <x:c r="T98" s="36" t="n">
        <x:f t="shared" ref="T98:T121" ca="1" si="16">IF(P98="Cancelado","",IF(P98="Entregue",IF(O98="","",MAX(0,O98-N98)),MAX(0,TODAY()-N98)))</x:f>
        <x:v>2</x:v>
      </x:c>
      <x:c r="U98" s="12" t="str">
        <x:f t="shared" ref="U98:U121" ca="1" si="17">IF(P98="Cancelado","Cancelado",IF(P98="Entregue",IF(T98&gt;0,"Entregue com atraso","Entregue no prazo"),IF(T98&gt;0,"Atrasado","Dentro do prazo")))</x:f>
        <x:v>Entregue com atraso</x:v>
      </x:c>
      <x:c r="V98" s="37" t="n">
        <x:f t="shared" ref="V98:V121" si="18">IF(OR(Q98="",R98=""),"",ROUND(Q98+R98,2))</x:f>
        <x:v>2275.51</x:v>
      </x:c>
      <x:c r="W98" s="37" t="n">
        <x:f t="shared" ref="W98:W121" si="19">IF(OR(M98="",V98=""),"",ROUND(M98-V98,2))</x:f>
        <x:v>574.11</x:v>
      </x:c>
    </x:row>
    <x:row r="99">
      <x:c r="A99" s="12" t="s">
        <x:v>266</x:v>
      </x:c>
      <x:c r="B99" s="34">
        <x:v>46079</x:v>
      </x:c>
      <x:c r="C99" s="12" t="s">
        <x:v>210</x:v>
      </x:c>
      <x:c r="D99" s="12" t="s">
        <x:v>211</x:v>
      </x:c>
      <x:c r="E99" s="12" t="s">
        <x:v>94</x:v>
      </x:c>
      <x:c r="F99" s="12" t="s">
        <x:v>76</x:v>
      </x:c>
      <x:c r="G99" s="12" t="s">
        <x:v>77</x:v>
      </x:c>
      <x:c r="H99" s="12" t="s">
        <x:v>62</x:v>
      </x:c>
      <x:c r="I99" s="12">
        <x:v>3</x:v>
      </x:c>
      <x:c r="J99" s="37">
        <x:v>689.9</x:v>
      </x:c>
      <x:c r="K99" s="38">
        <x:v>0</x:v>
      </x:c>
      <x:c r="L99" s="37">
        <x:v>2069.6999999999998</x:v>
      </x:c>
      <x:c r="M99" s="37">
        <x:v>2069.6999999999998</x:v>
      </x:c>
      <x:c r="N99" s="34">
        <x:v>46091</x:v>
      </x:c>
      <x:c r="O99" s="35"/>
      <x:c r="P99" s="12" t="s">
        <x:v>27</x:v>
      </x:c>
      <x:c r="Q99" s="37">
        <x:v>1443.73</x:v>
      </x:c>
      <x:c r="R99" s="37">
        <x:v>51.78</x:v>
      </x:c>
      <x:c r="S99" s="36" t="n">
        <x:f t="shared" si="15">IF(OR(B99="",N99=""),"",N99-B99)</x:f>
        <x:v>12</x:v>
      </x:c>
      <x:c r="T99" s="36" t="n">
        <x:f t="shared" ca="1" si="16">IF(P99="Cancelado","",IF(P99="Entregue",IF(O99="","",MAX(0,O99-N99)),MAX(0,TODAY()-N99)))</x:f>
        <x:v>189</x:v>
      </x:c>
      <x:c r="U99" s="12" t="str">
        <x:f t="shared" ca="1" si="17">IF(P99="Cancelado","Cancelado",IF(P99="Entregue",IF(T99&gt;0,"Entregue com atraso","Entregue no prazo"),IF(T99&gt;0,"Atrasado","Dentro do prazo")))</x:f>
        <x:v>Atrasado</x:v>
      </x:c>
      <x:c r="V99" s="37" t="n">
        <x:f t="shared" si="18">IF(OR(Q99="",R99=""),"",ROUND(Q99+R99,2))</x:f>
        <x:v>1495.51</x:v>
      </x:c>
      <x:c r="W99" s="37" t="n">
        <x:f t="shared" si="19">IF(OR(M99="",V99=""),"",ROUND(M99-V99,2))</x:f>
        <x:v>574.19</x:v>
      </x:c>
    </x:row>
    <x:row r="100">
      <x:c r="A100" s="12" t="s">
        <x:v>267</x:v>
      </x:c>
      <x:c r="B100" s="34">
        <x:v>46188</x:v>
      </x:c>
      <x:c r="C100" s="12" t="s">
        <x:v>200</x:v>
      </x:c>
      <x:c r="D100" s="12" t="s">
        <x:v>201</x:v>
      </x:c>
      <x:c r="E100" s="12" t="s">
        <x:v>81</x:v>
      </x:c>
      <x:c r="F100" s="12" t="s">
        <x:v>82</x:v>
      </x:c>
      <x:c r="G100" s="12" t="s">
        <x:v>83</x:v>
      </x:c>
      <x:c r="H100" s="12" t="s">
        <x:v>84</x:v>
      </x:c>
      <x:c r="I100" s="12">
        <x:v>3</x:v>
      </x:c>
      <x:c r="J100" s="37">
        <x:v>729.9</x:v>
      </x:c>
      <x:c r="K100" s="38">
        <x:v>0</x:v>
      </x:c>
      <x:c r="L100" s="37">
        <x:v>2189.6999999999998</x:v>
      </x:c>
      <x:c r="M100" s="37">
        <x:v>2189.6999999999998</x:v>
      </x:c>
      <x:c r="N100" s="34">
        <x:v>46201</x:v>
      </x:c>
      <x:c r="O100" s="34">
        <x:v>46202</x:v>
      </x:c>
      <x:c r="P100" s="12" t="s">
        <x:v>28</x:v>
      </x:c>
      <x:c r="Q100" s="37">
        <x:v>1390.27</x:v>
      </x:c>
      <x:c r="R100" s="37">
        <x:v>278.18</x:v>
      </x:c>
      <x:c r="S100" s="36" t="n">
        <x:f t="shared" si="15">IF(OR(B100="",N100=""),"",N100-B100)</x:f>
        <x:v>13</x:v>
      </x:c>
      <x:c r="T100" s="36" t="n">
        <x:f t="shared" ca="1" si="16">IF(P100="Cancelado","",IF(P100="Entregue",IF(O100="","",MAX(0,O100-N100)),MAX(0,TODAY()-N100)))</x:f>
        <x:v>1</x:v>
      </x:c>
      <x:c r="U100" s="12" t="str">
        <x:f t="shared" ca="1" si="17">IF(P100="Cancelado","Cancelado",IF(P100="Entregue",IF(T100&gt;0,"Entregue com atraso","Entregue no prazo"),IF(T100&gt;0,"Atrasado","Dentro do prazo")))</x:f>
        <x:v>Entregue com atraso</x:v>
      </x:c>
      <x:c r="V100" s="37" t="n">
        <x:f t="shared" si="18">IF(OR(Q100="",R100=""),"",ROUND(Q100+R100,2))</x:f>
        <x:v>1668.45</x:v>
      </x:c>
      <x:c r="W100" s="37" t="n">
        <x:f t="shared" si="19">IF(OR(M100="",V100=""),"",ROUND(M100-V100,2))</x:f>
        <x:v>521.25</x:v>
      </x:c>
    </x:row>
    <x:row r="101">
      <x:c r="A101" s="12" t="s">
        <x:v>268</x:v>
      </x:c>
      <x:c r="B101" s="34">
        <x:v>46260</x:v>
      </x:c>
      <x:c r="C101" s="12" t="s">
        <x:v>119</x:v>
      </x:c>
      <x:c r="D101" s="12" t="s">
        <x:v>120</x:v>
      </x:c>
      <x:c r="E101" s="12" t="s">
        <x:v>117</x:v>
      </x:c>
      <x:c r="F101" s="12" t="s">
        <x:v>221</x:v>
      </x:c>
      <x:c r="G101" s="12" t="s">
        <x:v>222</x:v>
      </x:c>
      <x:c r="H101" s="12" t="s">
        <x:v>113</x:v>
      </x:c>
      <x:c r="I101" s="12">
        <x:v>2</x:v>
      </x:c>
      <x:c r="J101" s="37">
        <x:v>499.9</x:v>
      </x:c>
      <x:c r="K101" s="38">
        <x:v>0.08</x:v>
      </x:c>
      <x:c r="L101" s="37">
        <x:v>999.8</x:v>
      </x:c>
      <x:c r="M101" s="37">
        <x:v>919.82</x:v>
      </x:c>
      <x:c r="N101" s="34">
        <x:v>46267</x:v>
      </x:c>
      <x:c r="O101" s="35"/>
      <x:c r="P101" s="12" t="s">
        <x:v>25</x:v>
      </x:c>
      <x:c r="Q101" s="37">
        <x:v>675.75</x:v>
      </x:c>
      <x:c r="R101" s="37">
        <x:v>164.58</x:v>
      </x:c>
      <x:c r="S101" s="36" t="n">
        <x:f t="shared" si="15">IF(OR(B101="",N101=""),"",N101-B101)</x:f>
        <x:v>7</x:v>
      </x:c>
      <x:c r="T101" s="36" t="n">
        <x:f t="shared" ca="1" si="16">IF(P101="Cancelado","",IF(P101="Entregue",IF(O101="","",MAX(0,O101-N101)),MAX(0,TODAY()-N101)))</x:f>
        <x:v>13</x:v>
      </x:c>
      <x:c r="U101" s="12" t="str">
        <x:f t="shared" ca="1" si="17">IF(P101="Cancelado","Cancelado",IF(P101="Entregue",IF(T101&gt;0,"Entregue com atraso","Entregue no prazo"),IF(T101&gt;0,"Atrasado","Dentro do prazo")))</x:f>
        <x:v>Atrasado</x:v>
      </x:c>
      <x:c r="V101" s="37" t="n">
        <x:f t="shared" si="18">IF(OR(Q101="",R101=""),"",ROUND(Q101+R101,2))</x:f>
        <x:v>840.33</x:v>
      </x:c>
      <x:c r="W101" s="37" t="n">
        <x:f t="shared" si="19">IF(OR(M101="",V101=""),"",ROUND(M101-V101,2))</x:f>
        <x:v>79.49</x:v>
      </x:c>
    </x:row>
    <x:row r="102">
      <x:c r="A102" s="12" t="s">
        <x:v>269</x:v>
      </x:c>
      <x:c r="B102" s="34">
        <x:v>46096</x:v>
      </x:c>
      <x:c r="C102" s="12" t="s">
        <x:v>193</x:v>
      </x:c>
      <x:c r="D102" s="12" t="s">
        <x:v>194</x:v>
      </x:c>
      <x:c r="E102" s="12" t="s">
        <x:v>103</x:v>
      </x:c>
      <x:c r="F102" s="12" t="s">
        <x:v>111</x:v>
      </x:c>
      <x:c r="G102" s="12" t="s">
        <x:v>112</x:v>
      </x:c>
      <x:c r="H102" s="12" t="s">
        <x:v>113</x:v>
      </x:c>
      <x:c r="I102" s="12">
        <x:v>8</x:v>
      </x:c>
      <x:c r="J102" s="37">
        <x:v>599.9</x:v>
      </x:c>
      <x:c r="K102" s="38">
        <x:v>0</x:v>
      </x:c>
      <x:c r="L102" s="37">
        <x:v>4799.2</x:v>
      </x:c>
      <x:c r="M102" s="37">
        <x:v>4799.2</x:v>
      </x:c>
      <x:c r="N102" s="34">
        <x:v>46108</x:v>
      </x:c>
      <x:c r="O102" s="34">
        <x:v>46109</x:v>
      </x:c>
      <x:c r="P102" s="12" t="s">
        <x:v>28</x:v>
      </x:c>
      <x:c r="Q102" s="37">
        <x:v>3121.87</x:v>
      </x:c>
      <x:c r="R102" s="37">
        <x:v>185.85</x:v>
      </x:c>
      <x:c r="S102" s="36" t="n">
        <x:f t="shared" si="15">IF(OR(B102="",N102=""),"",N102-B102)</x:f>
        <x:v>12</x:v>
      </x:c>
      <x:c r="T102" s="36" t="n">
        <x:f t="shared" ca="1" si="16">IF(P102="Cancelado","",IF(P102="Entregue",IF(O102="","",MAX(0,O102-N102)),MAX(0,TODAY()-N102)))</x:f>
        <x:v>1</x:v>
      </x:c>
      <x:c r="U102" s="12" t="str">
        <x:f t="shared" ca="1" si="17">IF(P102="Cancelado","Cancelado",IF(P102="Entregue",IF(T102&gt;0,"Entregue com atraso","Entregue no prazo"),IF(T102&gt;0,"Atrasado","Dentro do prazo")))</x:f>
        <x:v>Entregue com atraso</x:v>
      </x:c>
      <x:c r="V102" s="37" t="n">
        <x:f t="shared" si="18">IF(OR(Q102="",R102=""),"",ROUND(Q102+R102,2))</x:f>
        <x:v>3307.72</x:v>
      </x:c>
      <x:c r="W102" s="37" t="n">
        <x:f t="shared" si="19">IF(OR(M102="",V102=""),"",ROUND(M102-V102,2))</x:f>
        <x:v>1491.48</x:v>
      </x:c>
    </x:row>
    <x:row r="103">
      <x:c r="A103" s="12" t="s">
        <x:v>270</x:v>
      </x:c>
      <x:c r="B103" s="34">
        <x:v>46218</x:v>
      </x:c>
      <x:c r="C103" s="12" t="s">
        <x:v>122</x:v>
      </x:c>
      <x:c r="D103" s="12" t="s">
        <x:v>123</x:v>
      </x:c>
      <x:c r="E103" s="12" t="s">
        <x:v>81</x:v>
      </x:c>
      <x:c r="F103" s="12" t="s">
        <x:v>131</x:v>
      </x:c>
      <x:c r="G103" s="12" t="s">
        <x:v>132</x:v>
      </x:c>
      <x:c r="H103" s="12" t="s">
        <x:v>90</x:v>
      </x:c>
      <x:c r="I103" s="12">
        <x:v>2</x:v>
      </x:c>
      <x:c r="J103" s="37">
        <x:v>899.9</x:v>
      </x:c>
      <x:c r="K103" s="38">
        <x:v>0</x:v>
      </x:c>
      <x:c r="L103" s="37">
        <x:v>1799.8</x:v>
      </x:c>
      <x:c r="M103" s="37">
        <x:v>1799.8</x:v>
      </x:c>
      <x:c r="N103" s="34">
        <x:v>46229</x:v>
      </x:c>
      <x:c r="O103" s="34">
        <x:v>46232</x:v>
      </x:c>
      <x:c r="P103" s="12" t="s">
        <x:v>28</x:v>
      </x:c>
      <x:c r="Q103" s="37">
        <x:v>1192.81</x:v>
      </x:c>
      <x:c r="R103" s="37">
        <x:v>45.6</x:v>
      </x:c>
      <x:c r="S103" s="36" t="n">
        <x:f t="shared" si="15">IF(OR(B103="",N103=""),"",N103-B103)</x:f>
        <x:v>11</x:v>
      </x:c>
      <x:c r="T103" s="36" t="n">
        <x:f t="shared" ca="1" si="16">IF(P103="Cancelado","",IF(P103="Entregue",IF(O103="","",MAX(0,O103-N103)),MAX(0,TODAY()-N103)))</x:f>
        <x:v>3</x:v>
      </x:c>
      <x:c r="U103" s="12" t="str">
        <x:f t="shared" ca="1" si="17">IF(P103="Cancelado","Cancelado",IF(P103="Entregue",IF(T103&gt;0,"Entregue com atraso","Entregue no prazo"),IF(T103&gt;0,"Atrasado","Dentro do prazo")))</x:f>
        <x:v>Entregue com atraso</x:v>
      </x:c>
      <x:c r="V103" s="37" t="n">
        <x:f t="shared" si="18">IF(OR(Q103="",R103=""),"",ROUND(Q103+R103,2))</x:f>
        <x:v>1238.41</x:v>
      </x:c>
      <x:c r="W103" s="37" t="n">
        <x:f t="shared" si="19">IF(OR(M103="",V103=""),"",ROUND(M103-V103,2))</x:f>
        <x:v>561.39</x:v>
      </x:c>
    </x:row>
    <x:row r="104">
      <x:c r="A104" s="12" t="s">
        <x:v>271</x:v>
      </x:c>
      <x:c r="B104" s="34">
        <x:v>46212</x:v>
      </x:c>
      <x:c r="C104" s="12" t="s">
        <x:v>168</x:v>
      </x:c>
      <x:c r="D104" s="12" t="s">
        <x:v>169</x:v>
      </x:c>
      <x:c r="E104" s="12" t="s">
        <x:v>164</x:v>
      </x:c>
      <x:c r="F104" s="12" t="s">
        <x:v>139</x:v>
      </x:c>
      <x:c r="G104" s="12" t="s">
        <x:v>140</x:v>
      </x:c>
      <x:c r="H104" s="12" t="s">
        <x:v>90</x:v>
      </x:c>
      <x:c r="I104" s="12">
        <x:v>8</x:v>
      </x:c>
      <x:c r="J104" s="37">
        <x:v>779.9</x:v>
      </x:c>
      <x:c r="K104" s="38">
        <x:v>0</x:v>
      </x:c>
      <x:c r="L104" s="37">
        <x:v>6239.2</x:v>
      </x:c>
      <x:c r="M104" s="37">
        <x:v>6239.2</x:v>
      </x:c>
      <x:c r="N104" s="34">
        <x:v>46224</x:v>
      </x:c>
      <x:c r="O104" s="34">
        <x:v>46224</x:v>
      </x:c>
      <x:c r="P104" s="12" t="s">
        <x:v>28</x:v>
      </x:c>
      <x:c r="Q104" s="37">
        <x:v>4200.17</x:v>
      </x:c>
      <x:c r="R104" s="37">
        <x:v>224.28</x:v>
      </x:c>
      <x:c r="S104" s="36" t="n">
        <x:f t="shared" si="15">IF(OR(B104="",N104=""),"",N104-B104)</x:f>
        <x:v>12</x:v>
      </x:c>
      <x:c r="T104" s="36" t="n">
        <x:f t="shared" ca="1" si="16">IF(P104="Cancelado","",IF(P104="Entregue",IF(O104="","",MAX(0,O104-N104)),MAX(0,TODAY()-N104)))</x:f>
        <x:v>0</x:v>
      </x:c>
      <x:c r="U104" s="12" t="str">
        <x:f t="shared" ca="1" si="17">IF(P104="Cancelado","Cancelado",IF(P104="Entregue",IF(T104&gt;0,"Entregue com atraso","Entregue no prazo"),IF(T104&gt;0,"Atrasado","Dentro do prazo")))</x:f>
        <x:v>Entregue no prazo</x:v>
      </x:c>
      <x:c r="V104" s="37" t="n">
        <x:f t="shared" si="18">IF(OR(Q104="",R104=""),"",ROUND(Q104+R104,2))</x:f>
        <x:v>4424.45</x:v>
      </x:c>
      <x:c r="W104" s="37" t="n">
        <x:f t="shared" si="19">IF(OR(M104="",V104=""),"",ROUND(M104-V104,2))</x:f>
        <x:v>1814.75</x:v>
      </x:c>
    </x:row>
    <x:row r="105">
      <x:c r="A105" s="12" t="s">
        <x:v>272</x:v>
      </x:c>
      <x:c r="B105" s="34">
        <x:v>46123</x:v>
      </x:c>
      <x:c r="C105" s="12" t="s">
        <x:v>187</x:v>
      </x:c>
      <x:c r="D105" s="12" t="s">
        <x:v>188</x:v>
      </x:c>
      <x:c r="E105" s="12" t="s">
        <x:v>109</x:v>
      </x:c>
      <x:c r="F105" s="12" t="s">
        <x:v>104</x:v>
      </x:c>
      <x:c r="G105" s="12" t="s">
        <x:v>105</x:v>
      </x:c>
      <x:c r="H105" s="12" t="s">
        <x:v>74</x:v>
      </x:c>
      <x:c r="I105" s="12">
        <x:v>4</x:v>
      </x:c>
      <x:c r="J105" s="37">
        <x:v>699.9</x:v>
      </x:c>
      <x:c r="K105" s="38">
        <x:v>0.08</x:v>
      </x:c>
      <x:c r="L105" s="37">
        <x:v>2799.6</x:v>
      </x:c>
      <x:c r="M105" s="37">
        <x:v>2575.63</x:v>
      </x:c>
      <x:c r="N105" s="34">
        <x:v>46131</x:v>
      </x:c>
      <x:c r="O105" s="34">
        <x:v>46131</x:v>
      </x:c>
      <x:c r="P105" s="12" t="s">
        <x:v>28</x:v>
      </x:c>
      <x:c r="Q105" s="37">
        <x:v>1949.65</x:v>
      </x:c>
      <x:c r="R105" s="37">
        <x:v>141.53</x:v>
      </x:c>
      <x:c r="S105" s="36" t="n">
        <x:f t="shared" si="15">IF(OR(B105="",N105=""),"",N105-B105)</x:f>
        <x:v>8</x:v>
      </x:c>
      <x:c r="T105" s="36" t="n">
        <x:f t="shared" ca="1" si="16">IF(P105="Cancelado","",IF(P105="Entregue",IF(O105="","",MAX(0,O105-N105)),MAX(0,TODAY()-N105)))</x:f>
        <x:v>0</x:v>
      </x:c>
      <x:c r="U105" s="12" t="str">
        <x:f t="shared" ca="1" si="17">IF(P105="Cancelado","Cancelado",IF(P105="Entregue",IF(T105&gt;0,"Entregue com atraso","Entregue no prazo"),IF(T105&gt;0,"Atrasado","Dentro do prazo")))</x:f>
        <x:v>Entregue no prazo</x:v>
      </x:c>
      <x:c r="V105" s="37" t="n">
        <x:f t="shared" si="18">IF(OR(Q105="",R105=""),"",ROUND(Q105+R105,2))</x:f>
        <x:v>2091.18</x:v>
      </x:c>
      <x:c r="W105" s="37" t="n">
        <x:f t="shared" si="19">IF(OR(M105="",V105=""),"",ROUND(M105-V105,2))</x:f>
        <x:v>484.45</x:v>
      </x:c>
    </x:row>
    <x:row r="106">
      <x:c r="A106" s="12" t="s">
        <x:v>273</x:v>
      </x:c>
      <x:c r="B106" s="34">
        <x:v>46108</x:v>
      </x:c>
      <x:c r="C106" s="12" t="s">
        <x:v>107</x:v>
      </x:c>
      <x:c r="D106" s="12" t="s">
        <x:v>108</x:v>
      </x:c>
      <x:c r="E106" s="12" t="s">
        <x:v>109</x:v>
      </x:c>
      <x:c r="F106" s="12" t="s">
        <x:v>111</x:v>
      </x:c>
      <x:c r="G106" s="12" t="s">
        <x:v>112</x:v>
      </x:c>
      <x:c r="H106" s="12" t="s">
        <x:v>113</x:v>
      </x:c>
      <x:c r="I106" s="12">
        <x:v>7</x:v>
      </x:c>
      <x:c r="J106" s="37">
        <x:v>599.9</x:v>
      </x:c>
      <x:c r="K106" s="38">
        <x:v>0.03</x:v>
      </x:c>
      <x:c r="L106" s="37">
        <x:v>4199.3</x:v>
      </x:c>
      <x:c r="M106" s="37">
        <x:v>4073.32</x:v>
      </x:c>
      <x:c r="N106" s="34">
        <x:v>46123</x:v>
      </x:c>
      <x:c r="O106" s="34">
        <x:v>46130</x:v>
      </x:c>
      <x:c r="P106" s="12" t="s">
        <x:v>28</x:v>
      </x:c>
      <x:c r="Q106" s="37">
        <x:v>3164.69</x:v>
      </x:c>
      <x:c r="R106" s="37">
        <x:v>161.4</x:v>
      </x:c>
      <x:c r="S106" s="36" t="n">
        <x:f t="shared" si="15">IF(OR(B106="",N106=""),"",N106-B106)</x:f>
        <x:v>15</x:v>
      </x:c>
      <x:c r="T106" s="36" t="n">
        <x:f t="shared" ca="1" si="16">IF(P106="Cancelado","",IF(P106="Entregue",IF(O106="","",MAX(0,O106-N106)),MAX(0,TODAY()-N106)))</x:f>
        <x:v>7</x:v>
      </x:c>
      <x:c r="U106" s="12" t="str">
        <x:f t="shared" ca="1" si="17">IF(P106="Cancelado","Cancelado",IF(P106="Entregue",IF(T106&gt;0,"Entregue com atraso","Entregue no prazo"),IF(T106&gt;0,"Atrasado","Dentro do prazo")))</x:f>
        <x:v>Entregue com atraso</x:v>
      </x:c>
      <x:c r="V106" s="37" t="n">
        <x:f t="shared" si="18">IF(OR(Q106="",R106=""),"",ROUND(Q106+R106,2))</x:f>
        <x:v>3326.09</x:v>
      </x:c>
      <x:c r="W106" s="37" t="n">
        <x:f t="shared" si="19">IF(OR(M106="",V106=""),"",ROUND(M106-V106,2))</x:f>
        <x:v>747.23</x:v>
      </x:c>
    </x:row>
    <x:row r="107">
      <x:c r="A107" s="12" t="s">
        <x:v>274</x:v>
      </x:c>
      <x:c r="B107" s="34">
        <x:v>46036</x:v>
      </x:c>
      <x:c r="C107" s="12" t="s">
        <x:v>142</x:v>
      </x:c>
      <x:c r="D107" s="12" t="s">
        <x:v>143</x:v>
      </x:c>
      <x:c r="E107" s="12" t="s">
        <x:v>103</x:v>
      </x:c>
      <x:c r="F107" s="12" t="s">
        <x:v>173</x:v>
      </x:c>
      <x:c r="G107" s="12" t="s">
        <x:v>174</x:v>
      </x:c>
      <x:c r="H107" s="12" t="s">
        <x:v>149</x:v>
      </x:c>
      <x:c r="I107" s="12">
        <x:v>6</x:v>
      </x:c>
      <x:c r="J107" s="37">
        <x:v>289.89999999999998</x:v>
      </x:c>
      <x:c r="K107" s="38">
        <x:v>0</x:v>
      </x:c>
      <x:c r="L107" s="37">
        <x:v>1739.4</x:v>
      </x:c>
      <x:c r="M107" s="37">
        <x:v>1739.4</x:v>
      </x:c>
      <x:c r="N107" s="34">
        <x:v>46048</x:v>
      </x:c>
      <x:c r="O107" s="34">
        <x:v>46050</x:v>
      </x:c>
      <x:c r="P107" s="12" t="s">
        <x:v>28</x:v>
      </x:c>
      <x:c r="Q107" s="37">
        <x:v>1082.7</x:v>
      </x:c>
      <x:c r="R107" s="37">
        <x:v>78.88</x:v>
      </x:c>
      <x:c r="S107" s="36" t="n">
        <x:f t="shared" si="15">IF(OR(B107="",N107=""),"",N107-B107)</x:f>
        <x:v>12</x:v>
      </x:c>
      <x:c r="T107" s="36" t="n">
        <x:f t="shared" ca="1" si="16">IF(P107="Cancelado","",IF(P107="Entregue",IF(O107="","",MAX(0,O107-N107)),MAX(0,TODAY()-N107)))</x:f>
        <x:v>2</x:v>
      </x:c>
      <x:c r="U107" s="12" t="str">
        <x:f t="shared" ca="1" si="17">IF(P107="Cancelado","Cancelado",IF(P107="Entregue",IF(T107&gt;0,"Entregue com atraso","Entregue no prazo"),IF(T107&gt;0,"Atrasado","Dentro do prazo")))</x:f>
        <x:v>Entregue com atraso</x:v>
      </x:c>
      <x:c r="V107" s="37" t="n">
        <x:f t="shared" si="18">IF(OR(Q107="",R107=""),"",ROUND(Q107+R107,2))</x:f>
        <x:v>1161.58</x:v>
      </x:c>
      <x:c r="W107" s="37" t="n">
        <x:f t="shared" si="19">IF(OR(M107="",V107=""),"",ROUND(M107-V107,2))</x:f>
        <x:v>577.82</x:v>
      </x:c>
    </x:row>
    <x:row r="108">
      <x:c r="A108" s="12" t="s">
        <x:v>275</x:v>
      </x:c>
      <x:c r="B108" s="34">
        <x:v>46249</x:v>
      </x:c>
      <x:c r="C108" s="12" t="s">
        <x:v>180</x:v>
      </x:c>
      <x:c r="D108" s="12" t="s">
        <x:v>181</x:v>
      </x:c>
      <x:c r="E108" s="12" t="s">
        <x:v>71</x:v>
      </x:c>
      <x:c r="F108" s="12" t="s">
        <x:v>131</x:v>
      </x:c>
      <x:c r="G108" s="12" t="s">
        <x:v>132</x:v>
      </x:c>
      <x:c r="H108" s="12" t="s">
        <x:v>90</x:v>
      </x:c>
      <x:c r="I108" s="12">
        <x:v>2</x:v>
      </x:c>
      <x:c r="J108" s="37">
        <x:v>899.9</x:v>
      </x:c>
      <x:c r="K108" s="38">
        <x:v>0.03</x:v>
      </x:c>
      <x:c r="L108" s="37">
        <x:v>1799.8</x:v>
      </x:c>
      <x:c r="M108" s="37">
        <x:v>1745.81</x:v>
      </x:c>
      <x:c r="N108" s="34">
        <x:v>46258</x:v>
      </x:c>
      <x:c r="O108" s="34">
        <x:v>46259</x:v>
      </x:c>
      <x:c r="P108" s="12" t="s">
        <x:v>28</x:v>
      </x:c>
      <x:c r="Q108" s="37">
        <x:v>1263.92</x:v>
      </x:c>
      <x:c r="R108" s="37">
        <x:v>245.16</x:v>
      </x:c>
      <x:c r="S108" s="36" t="n">
        <x:f t="shared" si="15">IF(OR(B108="",N108=""),"",N108-B108)</x:f>
        <x:v>9</x:v>
      </x:c>
      <x:c r="T108" s="36" t="n">
        <x:f t="shared" ca="1" si="16">IF(P108="Cancelado","",IF(P108="Entregue",IF(O108="","",MAX(0,O108-N108)),MAX(0,TODAY()-N108)))</x:f>
        <x:v>1</x:v>
      </x:c>
      <x:c r="U108" s="12" t="str">
        <x:f t="shared" ca="1" si="17">IF(P108="Cancelado","Cancelado",IF(P108="Entregue",IF(T108&gt;0,"Entregue com atraso","Entregue no prazo"),IF(T108&gt;0,"Atrasado","Dentro do prazo")))</x:f>
        <x:v>Entregue com atraso</x:v>
      </x:c>
      <x:c r="V108" s="37" t="n">
        <x:f t="shared" si="18">IF(OR(Q108="",R108=""),"",ROUND(Q108+R108,2))</x:f>
        <x:v>1509.08</x:v>
      </x:c>
      <x:c r="W108" s="37" t="n">
        <x:f t="shared" si="19">IF(OR(M108="",V108=""),"",ROUND(M108-V108,2))</x:f>
        <x:v>236.73</x:v>
      </x:c>
    </x:row>
    <x:row r="109">
      <x:c r="A109" s="12" t="s">
        <x:v>276</x:v>
      </x:c>
      <x:c r="B109" s="34">
        <x:v>46245</x:v>
      </x:c>
      <x:c r="C109" s="12" t="s">
        <x:v>206</x:v>
      </x:c>
      <x:c r="D109" s="12" t="s">
        <x:v>207</x:v>
      </x:c>
      <x:c r="E109" s="12" t="s">
        <x:v>117</x:v>
      </x:c>
      <x:c r="F109" s="12" t="s">
        <x:v>76</x:v>
      </x:c>
      <x:c r="G109" s="12" t="s">
        <x:v>77</x:v>
      </x:c>
      <x:c r="H109" s="12" t="s">
        <x:v>62</x:v>
      </x:c>
      <x:c r="I109" s="12">
        <x:v>7</x:v>
      </x:c>
      <x:c r="J109" s="37">
        <x:v>689.9</x:v>
      </x:c>
      <x:c r="K109" s="38">
        <x:v>0</x:v>
      </x:c>
      <x:c r="L109" s="37">
        <x:v>4829.3</x:v>
      </x:c>
      <x:c r="M109" s="37">
        <x:v>4829.3</x:v>
      </x:c>
      <x:c r="N109" s="34">
        <x:v>46260</x:v>
      </x:c>
      <x:c r="O109" s="34">
        <x:v>46262</x:v>
      </x:c>
      <x:c r="P109" s="12" t="s">
        <x:v>28</x:v>
      </x:c>
      <x:c r="Q109" s="37">
        <x:v>3668.25</x:v>
      </x:c>
      <x:c r="R109" s="37">
        <x:v>53.44</x:v>
      </x:c>
      <x:c r="S109" s="36" t="n">
        <x:f t="shared" si="15">IF(OR(B109="",N109=""),"",N109-B109)</x:f>
        <x:v>15</x:v>
      </x:c>
      <x:c r="T109" s="36" t="n">
        <x:f t="shared" ca="1" si="16">IF(P109="Cancelado","",IF(P109="Entregue",IF(O109="","",MAX(0,O109-N109)),MAX(0,TODAY()-N109)))</x:f>
        <x:v>2</x:v>
      </x:c>
      <x:c r="U109" s="12" t="str">
        <x:f t="shared" ca="1" si="17">IF(P109="Cancelado","Cancelado",IF(P109="Entregue",IF(T109&gt;0,"Entregue com atraso","Entregue no prazo"),IF(T109&gt;0,"Atrasado","Dentro do prazo")))</x:f>
        <x:v>Entregue com atraso</x:v>
      </x:c>
      <x:c r="V109" s="37" t="n">
        <x:f t="shared" si="18">IF(OR(Q109="",R109=""),"",ROUND(Q109+R109,2))</x:f>
        <x:v>3721.69</x:v>
      </x:c>
      <x:c r="W109" s="37" t="n">
        <x:f t="shared" si="19">IF(OR(M109="",V109=""),"",ROUND(M109-V109,2))</x:f>
        <x:v>1107.61</x:v>
      </x:c>
    </x:row>
    <x:row r="110">
      <x:c r="A110" s="12" t="s">
        <x:v>277</x:v>
      </x:c>
      <x:c r="B110" s="34">
        <x:v>46044</x:v>
      </x:c>
      <x:c r="C110" s="12" t="s">
        <x:v>137</x:v>
      </x:c>
      <x:c r="D110" s="12" t="s">
        <x:v>138</x:v>
      </x:c>
      <x:c r="E110" s="12" t="s">
        <x:v>59</x:v>
      </x:c>
      <x:c r="F110" s="12" t="s">
        <x:v>182</x:v>
      </x:c>
      <x:c r="G110" s="12" t="s">
        <x:v>183</x:v>
      </x:c>
      <x:c r="H110" s="12" t="s">
        <x:v>184</x:v>
      </x:c>
      <x:c r="I110" s="12">
        <x:v>4</x:v>
      </x:c>
      <x:c r="J110" s="37">
        <x:v>1099.9000000000001</x:v>
      </x:c>
      <x:c r="K110" s="38">
        <x:v>0.08</x:v>
      </x:c>
      <x:c r="L110" s="37">
        <x:v>4399.6000000000004</x:v>
      </x:c>
      <x:c r="M110" s="37">
        <x:v>4047.63</x:v>
      </x:c>
      <x:c r="N110" s="34">
        <x:v>46050</x:v>
      </x:c>
      <x:c r="O110" s="34">
        <x:v>46048</x:v>
      </x:c>
      <x:c r="P110" s="12" t="s">
        <x:v>28</x:v>
      </x:c>
      <x:c r="Q110" s="37">
        <x:v>3001.96</x:v>
      </x:c>
      <x:c r="R110" s="37">
        <x:v>210.41</x:v>
      </x:c>
      <x:c r="S110" s="36" t="n">
        <x:f t="shared" si="15">IF(OR(B110="",N110=""),"",N110-B110)</x:f>
        <x:v>6</x:v>
      </x:c>
      <x:c r="T110" s="36" t="n">
        <x:f t="shared" ca="1" si="16">IF(P110="Cancelado","",IF(P110="Entregue",IF(O110="","",MAX(0,O110-N110)),MAX(0,TODAY()-N110)))</x:f>
        <x:v>0</x:v>
      </x:c>
      <x:c r="U110" s="12" t="str">
        <x:f t="shared" ca="1" si="17">IF(P110="Cancelado","Cancelado",IF(P110="Entregue",IF(T110&gt;0,"Entregue com atraso","Entregue no prazo"),IF(T110&gt;0,"Atrasado","Dentro do prazo")))</x:f>
        <x:v>Entregue no prazo</x:v>
      </x:c>
      <x:c r="V110" s="37" t="n">
        <x:f t="shared" si="18">IF(OR(Q110="",R110=""),"",ROUND(Q110+R110,2))</x:f>
        <x:v>3212.37</x:v>
      </x:c>
      <x:c r="W110" s="37" t="n">
        <x:f t="shared" si="19">IF(OR(M110="",V110=""),"",ROUND(M110-V110,2))</x:f>
        <x:v>835.26</x:v>
      </x:c>
    </x:row>
    <x:row r="111">
      <x:c r="A111" s="12" t="s">
        <x:v>278</x:v>
      </x:c>
      <x:c r="B111" s="34">
        <x:v>46052</x:v>
      </x:c>
      <x:c r="C111" s="12" t="s">
        <x:v>187</x:v>
      </x:c>
      <x:c r="D111" s="12" t="s">
        <x:v>188</x:v>
      </x:c>
      <x:c r="E111" s="12" t="s">
        <x:v>109</x:v>
      </x:c>
      <x:c r="F111" s="12" t="s">
        <x:v>88</x:v>
      </x:c>
      <x:c r="G111" s="12" t="s">
        <x:v>89</x:v>
      </x:c>
      <x:c r="H111" s="12" t="s">
        <x:v>90</x:v>
      </x:c>
      <x:c r="I111" s="12">
        <x:v>5</x:v>
      </x:c>
      <x:c r="J111" s="37">
        <x:v>649.9</x:v>
      </x:c>
      <x:c r="K111" s="38">
        <x:v>0</x:v>
      </x:c>
      <x:c r="L111" s="37">
        <x:v>3249.5</x:v>
      </x:c>
      <x:c r="M111" s="37">
        <x:v>3249.5</x:v>
      </x:c>
      <x:c r="N111" s="34">
        <x:v>46057</x:v>
      </x:c>
      <x:c r="O111" s="34">
        <x:v>46054</x:v>
      </x:c>
      <x:c r="P111" s="12" t="s">
        <x:v>28</x:v>
      </x:c>
      <x:c r="Q111" s="37">
        <x:v>2167.2199999999998</x:v>
      </x:c>
      <x:c r="R111" s="37">
        <x:v>133.09</x:v>
      </x:c>
      <x:c r="S111" s="36" t="n">
        <x:f t="shared" si="15">IF(OR(B111="",N111=""),"",N111-B111)</x:f>
        <x:v>5</x:v>
      </x:c>
      <x:c r="T111" s="36" t="n">
        <x:f t="shared" ca="1" si="16">IF(P111="Cancelado","",IF(P111="Entregue",IF(O111="","",MAX(0,O111-N111)),MAX(0,TODAY()-N111)))</x:f>
        <x:v>0</x:v>
      </x:c>
      <x:c r="U111" s="12" t="str">
        <x:f t="shared" ca="1" si="17">IF(P111="Cancelado","Cancelado",IF(P111="Entregue",IF(T111&gt;0,"Entregue com atraso","Entregue no prazo"),IF(T111&gt;0,"Atrasado","Dentro do prazo")))</x:f>
        <x:v>Entregue no prazo</x:v>
      </x:c>
      <x:c r="V111" s="37" t="n">
        <x:f t="shared" si="18">IF(OR(Q111="",R111=""),"",ROUND(Q111+R111,2))</x:f>
        <x:v>2300.31</x:v>
      </x:c>
      <x:c r="W111" s="37" t="n">
        <x:f t="shared" si="19">IF(OR(M111="",V111=""),"",ROUND(M111-V111,2))</x:f>
        <x:v>949.19</x:v>
      </x:c>
    </x:row>
    <x:row r="112">
      <x:c r="A112" s="12" t="s">
        <x:v>279</x:v>
      </x:c>
      <x:c r="B112" s="34">
        <x:v>46064</x:v>
      </x:c>
      <x:c r="C112" s="12" t="s">
        <x:v>137</x:v>
      </x:c>
      <x:c r="D112" s="12" t="s">
        <x:v>138</x:v>
      </x:c>
      <x:c r="E112" s="12" t="s">
        <x:v>59</x:v>
      </x:c>
      <x:c r="F112" s="12" t="s">
        <x:v>173</x:v>
      </x:c>
      <x:c r="G112" s="12" t="s">
        <x:v>174</x:v>
      </x:c>
      <x:c r="H112" s="12" t="s">
        <x:v>149</x:v>
      </x:c>
      <x:c r="I112" s="12">
        <x:v>7</x:v>
      </x:c>
      <x:c r="J112" s="37">
        <x:v>289.89999999999998</x:v>
      </x:c>
      <x:c r="K112" s="38">
        <x:v>0.05</x:v>
      </x:c>
      <x:c r="L112" s="37">
        <x:v>2029.3</x:v>
      </x:c>
      <x:c r="M112" s="37">
        <x:v>1927.83</x:v>
      </x:c>
      <x:c r="N112" s="34">
        <x:v>46079</x:v>
      </x:c>
      <x:c r="O112" s="34">
        <x:v>46078</x:v>
      </x:c>
      <x:c r="P112" s="12" t="s">
        <x:v>28</x:v>
      </x:c>
      <x:c r="Q112" s="37">
        <x:v>1249.26</x:v>
      </x:c>
      <x:c r="R112" s="37">
        <x:v>188.23</x:v>
      </x:c>
      <x:c r="S112" s="36" t="n">
        <x:f t="shared" si="15">IF(OR(B112="",N112=""),"",N112-B112)</x:f>
        <x:v>15</x:v>
      </x:c>
      <x:c r="T112" s="36" t="n">
        <x:f t="shared" ca="1" si="16">IF(P112="Cancelado","",IF(P112="Entregue",IF(O112="","",MAX(0,O112-N112)),MAX(0,TODAY()-N112)))</x:f>
        <x:v>0</x:v>
      </x:c>
      <x:c r="U112" s="12" t="str">
        <x:f t="shared" ca="1" si="17">IF(P112="Cancelado","Cancelado",IF(P112="Entregue",IF(T112&gt;0,"Entregue com atraso","Entregue no prazo"),IF(T112&gt;0,"Atrasado","Dentro do prazo")))</x:f>
        <x:v>Entregue no prazo</x:v>
      </x:c>
      <x:c r="V112" s="37" t="n">
        <x:f t="shared" si="18">IF(OR(Q112="",R112=""),"",ROUND(Q112+R112,2))</x:f>
        <x:v>1437.49</x:v>
      </x:c>
      <x:c r="W112" s="37" t="n">
        <x:f t="shared" si="19">IF(OR(M112="",V112=""),"",ROUND(M112-V112,2))</x:f>
        <x:v>490.34</x:v>
      </x:c>
    </x:row>
    <x:row r="113">
      <x:c r="A113" s="12" t="s">
        <x:v>280</x:v>
      </x:c>
      <x:c r="B113" s="34">
        <x:v>46124</x:v>
      </x:c>
      <x:c r="C113" s="12" t="s">
        <x:v>200</x:v>
      </x:c>
      <x:c r="D113" s="12" t="s">
        <x:v>201</x:v>
      </x:c>
      <x:c r="E113" s="12" t="s">
        <x:v>81</x:v>
      </x:c>
      <x:c r="F113" s="12" t="s">
        <x:v>82</x:v>
      </x:c>
      <x:c r="G113" s="12" t="s">
        <x:v>83</x:v>
      </x:c>
      <x:c r="H113" s="12" t="s">
        <x:v>84</x:v>
      </x:c>
      <x:c r="I113" s="12">
        <x:v>8</x:v>
      </x:c>
      <x:c r="J113" s="37">
        <x:v>729.9</x:v>
      </x:c>
      <x:c r="K113" s="38">
        <x:v>0.05</x:v>
      </x:c>
      <x:c r="L113" s="37">
        <x:v>5839.2</x:v>
      </x:c>
      <x:c r="M113" s="37">
        <x:v>5547.24</x:v>
      </x:c>
      <x:c r="N113" s="34">
        <x:v>46131</x:v>
      </x:c>
      <x:c r="O113" s="34">
        <x:v>46138</x:v>
      </x:c>
      <x:c r="P113" s="12" t="s">
        <x:v>28</x:v>
      </x:c>
      <x:c r="Q113" s="37">
        <x:v>3664.71</x:v>
      </x:c>
      <x:c r="R113" s="37">
        <x:v>105</x:v>
      </x:c>
      <x:c r="S113" s="36" t="n">
        <x:f t="shared" si="15">IF(OR(B113="",N113=""),"",N113-B113)</x:f>
        <x:v>7</x:v>
      </x:c>
      <x:c r="T113" s="36" t="n">
        <x:f t="shared" ca="1" si="16">IF(P113="Cancelado","",IF(P113="Entregue",IF(O113="","",MAX(0,O113-N113)),MAX(0,TODAY()-N113)))</x:f>
        <x:v>7</x:v>
      </x:c>
      <x:c r="U113" s="12" t="str">
        <x:f t="shared" ca="1" si="17">IF(P113="Cancelado","Cancelado",IF(P113="Entregue",IF(T113&gt;0,"Entregue com atraso","Entregue no prazo"),IF(T113&gt;0,"Atrasado","Dentro do prazo")))</x:f>
        <x:v>Entregue com atraso</x:v>
      </x:c>
      <x:c r="V113" s="37" t="n">
        <x:f t="shared" si="18">IF(OR(Q113="",R113=""),"",ROUND(Q113+R113,2))</x:f>
        <x:v>3769.71</x:v>
      </x:c>
      <x:c r="W113" s="37" t="n">
        <x:f t="shared" si="19">IF(OR(M113="",V113=""),"",ROUND(M113-V113,2))</x:f>
        <x:v>1777.53</x:v>
      </x:c>
    </x:row>
    <x:row r="114">
      <x:c r="A114" s="12" t="s">
        <x:v>281</x:v>
      </x:c>
      <x:c r="B114" s="34">
        <x:v>46029</x:v>
      </x:c>
      <x:c r="C114" s="12" t="s">
        <x:v>122</x:v>
      </x:c>
      <x:c r="D114" s="12" t="s">
        <x:v>123</x:v>
      </x:c>
      <x:c r="E114" s="12" t="s">
        <x:v>81</x:v>
      </x:c>
      <x:c r="F114" s="12" t="s">
        <x:v>221</x:v>
      </x:c>
      <x:c r="G114" s="12" t="s">
        <x:v>222</x:v>
      </x:c>
      <x:c r="H114" s="12" t="s">
        <x:v>113</x:v>
      </x:c>
      <x:c r="I114" s="12">
        <x:v>5</x:v>
      </x:c>
      <x:c r="J114" s="37">
        <x:v>499.9</x:v>
      </x:c>
      <x:c r="K114" s="38">
        <x:v>0.08</x:v>
      </x:c>
      <x:c r="L114" s="37">
        <x:v>2499.5</x:v>
      </x:c>
      <x:c r="M114" s="37">
        <x:v>2299.54</x:v>
      </x:c>
      <x:c r="N114" s="34">
        <x:v>46042</x:v>
      </x:c>
      <x:c r="O114" s="34">
        <x:v>46044</x:v>
      </x:c>
      <x:c r="P114" s="12" t="s">
        <x:v>28</x:v>
      </x:c>
      <x:c r="Q114" s="37">
        <x:v>1773.49</x:v>
      </x:c>
      <x:c r="R114" s="37">
        <x:v>277.10000000000002</x:v>
      </x:c>
      <x:c r="S114" s="36" t="n">
        <x:f t="shared" si="15">IF(OR(B114="",N114=""),"",N114-B114)</x:f>
        <x:v>13</x:v>
      </x:c>
      <x:c r="T114" s="36" t="n">
        <x:f t="shared" ca="1" si="16">IF(P114="Cancelado","",IF(P114="Entregue",IF(O114="","",MAX(0,O114-N114)),MAX(0,TODAY()-N114)))</x:f>
        <x:v>2</x:v>
      </x:c>
      <x:c r="U114" s="12" t="str">
        <x:f t="shared" ca="1" si="17">IF(P114="Cancelado","Cancelado",IF(P114="Entregue",IF(T114&gt;0,"Entregue com atraso","Entregue no prazo"),IF(T114&gt;0,"Atrasado","Dentro do prazo")))</x:f>
        <x:v>Entregue com atraso</x:v>
      </x:c>
      <x:c r="V114" s="37" t="n">
        <x:f t="shared" si="18">IF(OR(Q114="",R114=""),"",ROUND(Q114+R114,2))</x:f>
        <x:v>2050.59</x:v>
      </x:c>
      <x:c r="W114" s="37" t="n">
        <x:f t="shared" si="19">IF(OR(M114="",V114=""),"",ROUND(M114-V114,2))</x:f>
        <x:v>248.95</x:v>
      </x:c>
    </x:row>
    <x:row r="115">
      <x:c r="A115" s="12" t="s">
        <x:v>282</x:v>
      </x:c>
      <x:c r="B115" s="34">
        <x:v>46103</x:v>
      </x:c>
      <x:c r="C115" s="12" t="s">
        <x:v>180</x:v>
      </x:c>
      <x:c r="D115" s="12" t="s">
        <x:v>181</x:v>
      </x:c>
      <x:c r="E115" s="12" t="s">
        <x:v>71</x:v>
      </x:c>
      <x:c r="F115" s="12" t="s">
        <x:v>156</x:v>
      </x:c>
      <x:c r="G115" s="12" t="s">
        <x:v>157</x:v>
      </x:c>
      <x:c r="H115" s="12" t="s">
        <x:v>74</x:v>
      </x:c>
      <x:c r="I115" s="12">
        <x:v>5</x:v>
      </x:c>
      <x:c r="J115" s="37">
        <x:v>849.9</x:v>
      </x:c>
      <x:c r="K115" s="38">
        <x:v>0.03</x:v>
      </x:c>
      <x:c r="L115" s="37">
        <x:v>4249.5</x:v>
      </x:c>
      <x:c r="M115" s="37">
        <x:v>4122.0200000000004</x:v>
      </x:c>
      <x:c r="N115" s="34">
        <x:v>46112</x:v>
      </x:c>
      <x:c r="O115" s="34">
        <x:v>46113</x:v>
      </x:c>
      <x:c r="P115" s="12" t="s">
        <x:v>28</x:v>
      </x:c>
      <x:c r="Q115" s="37">
        <x:v>3118.45</x:v>
      </x:c>
      <x:c r="R115" s="37">
        <x:v>70.06</x:v>
      </x:c>
      <x:c r="S115" s="36" t="n">
        <x:f t="shared" si="15">IF(OR(B115="",N115=""),"",N115-B115)</x:f>
        <x:v>9</x:v>
      </x:c>
      <x:c r="T115" s="36" t="n">
        <x:f t="shared" ca="1" si="16">IF(P115="Cancelado","",IF(P115="Entregue",IF(O115="","",MAX(0,O115-N115)),MAX(0,TODAY()-N115)))</x:f>
        <x:v>1</x:v>
      </x:c>
      <x:c r="U115" s="12" t="str">
        <x:f t="shared" ca="1" si="17">IF(P115="Cancelado","Cancelado",IF(P115="Entregue",IF(T115&gt;0,"Entregue com atraso","Entregue no prazo"),IF(T115&gt;0,"Atrasado","Dentro do prazo")))</x:f>
        <x:v>Entregue com atraso</x:v>
      </x:c>
      <x:c r="V115" s="37" t="n">
        <x:f t="shared" si="18">IF(OR(Q115="",R115=""),"",ROUND(Q115+R115,2))</x:f>
        <x:v>3188.51</x:v>
      </x:c>
      <x:c r="W115" s="37" t="n">
        <x:f t="shared" si="19">IF(OR(M115="",V115=""),"",ROUND(M115-V115,2))</x:f>
        <x:v>933.51</x:v>
      </x:c>
    </x:row>
    <x:row r="116">
      <x:c r="A116" s="12" t="s">
        <x:v>283</x:v>
      </x:c>
      <x:c r="B116" s="34">
        <x:v>46124</x:v>
      </x:c>
      <x:c r="C116" s="12" t="s">
        <x:v>177</x:v>
      </x:c>
      <x:c r="D116" s="12" t="s">
        <x:v>178</x:v>
      </x:c>
      <x:c r="E116" s="12" t="s">
        <x:v>164</x:v>
      </x:c>
      <x:c r="F116" s="12" t="s">
        <x:v>196</x:v>
      </x:c>
      <x:c r="G116" s="12" t="s">
        <x:v>197</x:v>
      </x:c>
      <x:c r="H116" s="12" t="s">
        <x:v>74</x:v>
      </x:c>
      <x:c r="I116" s="12">
        <x:v>5</x:v>
      </x:c>
      <x:c r="J116" s="37">
        <x:v>1199.9000000000001</x:v>
      </x:c>
      <x:c r="K116" s="38">
        <x:v>0.08</x:v>
      </x:c>
      <x:c r="L116" s="37">
        <x:v>5999.5</x:v>
      </x:c>
      <x:c r="M116" s="37">
        <x:v>5519.54</x:v>
      </x:c>
      <x:c r="N116" s="34">
        <x:v>46133</x:v>
      </x:c>
      <x:c r="O116" s="34">
        <x:v>46140</x:v>
      </x:c>
      <x:c r="P116" s="12" t="s">
        <x:v>28</x:v>
      </x:c>
      <x:c r="Q116" s="37">
        <x:v>3771.66</x:v>
      </x:c>
      <x:c r="R116" s="37">
        <x:v>46.9</x:v>
      </x:c>
      <x:c r="S116" s="36" t="n">
        <x:f t="shared" si="15">IF(OR(B116="",N116=""),"",N116-B116)</x:f>
        <x:v>9</x:v>
      </x:c>
      <x:c r="T116" s="36" t="n">
        <x:f t="shared" ca="1" si="16">IF(P116="Cancelado","",IF(P116="Entregue",IF(O116="","",MAX(0,O116-N116)),MAX(0,TODAY()-N116)))</x:f>
        <x:v>7</x:v>
      </x:c>
      <x:c r="U116" s="12" t="str">
        <x:f t="shared" ca="1" si="17">IF(P116="Cancelado","Cancelado",IF(P116="Entregue",IF(T116&gt;0,"Entregue com atraso","Entregue no prazo"),IF(T116&gt;0,"Atrasado","Dentro do prazo")))</x:f>
        <x:v>Entregue com atraso</x:v>
      </x:c>
      <x:c r="V116" s="37" t="n">
        <x:f t="shared" si="18">IF(OR(Q116="",R116=""),"",ROUND(Q116+R116,2))</x:f>
        <x:v>3818.56</x:v>
      </x:c>
      <x:c r="W116" s="37" t="n">
        <x:f t="shared" si="19">IF(OR(M116="",V116=""),"",ROUND(M116-V116,2))</x:f>
        <x:v>1700.98</x:v>
      </x:c>
    </x:row>
    <x:row r="117">
      <x:c r="A117" s="12" t="s">
        <x:v>284</x:v>
      </x:c>
      <x:c r="B117" s="34">
        <x:v>46248</x:v>
      </x:c>
      <x:c r="C117" s="12" t="s">
        <x:v>206</x:v>
      </x:c>
      <x:c r="D117" s="12" t="s">
        <x:v>207</x:v>
      </x:c>
      <x:c r="E117" s="12" t="s">
        <x:v>117</x:v>
      </x:c>
      <x:c r="F117" s="12" t="s">
        <x:v>98</x:v>
      </x:c>
      <x:c r="G117" s="12" t="s">
        <x:v>99</x:v>
      </x:c>
      <x:c r="H117" s="12" t="s">
        <x:v>62</x:v>
      </x:c>
      <x:c r="I117" s="12">
        <x:v>8</x:v>
      </x:c>
      <x:c r="J117" s="37">
        <x:v>749.9</x:v>
      </x:c>
      <x:c r="K117" s="38">
        <x:v>0</x:v>
      </x:c>
      <x:c r="L117" s="37">
        <x:v>5999.2</x:v>
      </x:c>
      <x:c r="M117" s="37">
        <x:v>5999.2</x:v>
      </x:c>
      <x:c r="N117" s="34">
        <x:v>46256</x:v>
      </x:c>
      <x:c r="O117" s="34">
        <x:v>46256</x:v>
      </x:c>
      <x:c r="P117" s="12" t="s">
        <x:v>28</x:v>
      </x:c>
      <x:c r="Q117" s="37">
        <x:v>3929.72</x:v>
      </x:c>
      <x:c r="R117" s="37">
        <x:v>89.68</x:v>
      </x:c>
      <x:c r="S117" s="36" t="n">
        <x:f t="shared" si="15">IF(OR(B117="",N117=""),"",N117-B117)</x:f>
        <x:v>8</x:v>
      </x:c>
      <x:c r="T117" s="36" t="n">
        <x:f t="shared" ca="1" si="16">IF(P117="Cancelado","",IF(P117="Entregue",IF(O117="","",MAX(0,O117-N117)),MAX(0,TODAY()-N117)))</x:f>
        <x:v>0</x:v>
      </x:c>
      <x:c r="U117" s="12" t="str">
        <x:f t="shared" ca="1" si="17">IF(P117="Cancelado","Cancelado",IF(P117="Entregue",IF(T117&gt;0,"Entregue com atraso","Entregue no prazo"),IF(T117&gt;0,"Atrasado","Dentro do prazo")))</x:f>
        <x:v>Entregue no prazo</x:v>
      </x:c>
      <x:c r="V117" s="37" t="n">
        <x:f t="shared" si="18">IF(OR(Q117="",R117=""),"",ROUND(Q117+R117,2))</x:f>
        <x:v>4019.4</x:v>
      </x:c>
      <x:c r="W117" s="37" t="n">
        <x:f t="shared" si="19">IF(OR(M117="",V117=""),"",ROUND(M117-V117,2))</x:f>
        <x:v>1979.8</x:v>
      </x:c>
    </x:row>
    <x:row r="118">
      <x:c r="A118" s="12" t="s">
        <x:v>285</x:v>
      </x:c>
      <x:c r="B118" s="34">
        <x:v>46091</x:v>
      </x:c>
      <x:c r="C118" s="12" t="s">
        <x:v>206</x:v>
      </x:c>
      <x:c r="D118" s="12" t="s">
        <x:v>207</x:v>
      </x:c>
      <x:c r="E118" s="12" t="s">
        <x:v>117</x:v>
      </x:c>
      <x:c r="F118" s="12" t="s">
        <x:v>131</x:v>
      </x:c>
      <x:c r="G118" s="12" t="s">
        <x:v>132</x:v>
      </x:c>
      <x:c r="H118" s="12" t="s">
        <x:v>90</x:v>
      </x:c>
      <x:c r="I118" s="12">
        <x:v>2</x:v>
      </x:c>
      <x:c r="J118" s="37">
        <x:v>899.9</x:v>
      </x:c>
      <x:c r="K118" s="38">
        <x:v>0.08</x:v>
      </x:c>
      <x:c r="L118" s="37">
        <x:v>1799.8</x:v>
      </x:c>
      <x:c r="M118" s="37">
        <x:v>1655.82</x:v>
      </x:c>
      <x:c r="N118" s="34">
        <x:v>46106</x:v>
      </x:c>
      <x:c r="O118" s="34">
        <x:v>46108</x:v>
      </x:c>
      <x:c r="P118" s="12" t="s">
        <x:v>28</x:v>
      </x:c>
      <x:c r="Q118" s="37">
        <x:v>1035.45</x:v>
      </x:c>
      <x:c r="R118" s="37">
        <x:v>130.74</x:v>
      </x:c>
      <x:c r="S118" s="36" t="n">
        <x:f t="shared" si="15">IF(OR(B118="",N118=""),"",N118-B118)</x:f>
        <x:v>15</x:v>
      </x:c>
      <x:c r="T118" s="36" t="n">
        <x:f t="shared" ca="1" si="16">IF(P118="Cancelado","",IF(P118="Entregue",IF(O118="","",MAX(0,O118-N118)),MAX(0,TODAY()-N118)))</x:f>
        <x:v>2</x:v>
      </x:c>
      <x:c r="U118" s="12" t="str">
        <x:f t="shared" ca="1" si="17">IF(P118="Cancelado","Cancelado",IF(P118="Entregue",IF(T118&gt;0,"Entregue com atraso","Entregue no prazo"),IF(T118&gt;0,"Atrasado","Dentro do prazo")))</x:f>
        <x:v>Entregue com atraso</x:v>
      </x:c>
      <x:c r="V118" s="37" t="n">
        <x:f t="shared" si="18">IF(OR(Q118="",R118=""),"",ROUND(Q118+R118,2))</x:f>
        <x:v>1166.19</x:v>
      </x:c>
      <x:c r="W118" s="37" t="n">
        <x:f t="shared" si="19">IF(OR(M118="",V118=""),"",ROUND(M118-V118,2))</x:f>
        <x:v>489.63</x:v>
      </x:c>
    </x:row>
    <x:row r="119">
      <x:c r="A119" s="12" t="s">
        <x:v>286</x:v>
      </x:c>
      <x:c r="B119" s="34">
        <x:v>46060</x:v>
      </x:c>
      <x:c r="C119" s="12" t="s">
        <x:v>69</x:v>
      </x:c>
      <x:c r="D119" s="12" t="s">
        <x:v>70</x:v>
      </x:c>
      <x:c r="E119" s="12" t="s">
        <x:v>71</x:v>
      </x:c>
      <x:c r="F119" s="12" t="s">
        <x:v>182</x:v>
      </x:c>
      <x:c r="G119" s="12" t="s">
        <x:v>183</x:v>
      </x:c>
      <x:c r="H119" s="12" t="s">
        <x:v>184</x:v>
      </x:c>
      <x:c r="I119" s="12">
        <x:v>6</x:v>
      </x:c>
      <x:c r="J119" s="37">
        <x:v>1099.9000000000001</x:v>
      </x:c>
      <x:c r="K119" s="38">
        <x:v>0.08</x:v>
      </x:c>
      <x:c r="L119" s="37">
        <x:v>6599.4</x:v>
      </x:c>
      <x:c r="M119" s="37">
        <x:v>6071.45</x:v>
      </x:c>
      <x:c r="N119" s="34">
        <x:v>46071</x:v>
      </x:c>
      <x:c r="O119" s="34">
        <x:v>46070</x:v>
      </x:c>
      <x:c r="P119" s="12" t="s">
        <x:v>28</x:v>
      </x:c>
      <x:c r="Q119" s="37">
        <x:v>4528.34</x:v>
      </x:c>
      <x:c r="R119" s="37">
        <x:v>250.97</x:v>
      </x:c>
      <x:c r="S119" s="36" t="n">
        <x:f t="shared" si="15">IF(OR(B119="",N119=""),"",N119-B119)</x:f>
        <x:v>11</x:v>
      </x:c>
      <x:c r="T119" s="36" t="n">
        <x:f t="shared" ca="1" si="16">IF(P119="Cancelado","",IF(P119="Entregue",IF(O119="","",MAX(0,O119-N119)),MAX(0,TODAY()-N119)))</x:f>
        <x:v>0</x:v>
      </x:c>
      <x:c r="U119" s="12" t="str">
        <x:f t="shared" ca="1" si="17">IF(P119="Cancelado","Cancelado",IF(P119="Entregue",IF(T119&gt;0,"Entregue com atraso","Entregue no prazo"),IF(T119&gt;0,"Atrasado","Dentro do prazo")))</x:f>
        <x:v>Entregue no prazo</x:v>
      </x:c>
      <x:c r="V119" s="37" t="n">
        <x:f t="shared" si="18">IF(OR(Q119="",R119=""),"",ROUND(Q119+R119,2))</x:f>
        <x:v>4779.31</x:v>
      </x:c>
      <x:c r="W119" s="37" t="n">
        <x:f t="shared" si="19">IF(OR(M119="",V119=""),"",ROUND(M119-V119,2))</x:f>
        <x:v>1292.14</x:v>
      </x:c>
    </x:row>
    <x:row r="120">
      <x:c r="A120" s="12" t="s">
        <x:v>287</x:v>
      </x:c>
      <x:c r="B120" s="34">
        <x:v>46120</x:v>
      </x:c>
      <x:c r="C120" s="12" t="s">
        <x:v>57</x:v>
      </x:c>
      <x:c r="D120" s="12" t="s">
        <x:v>58</x:v>
      </x:c>
      <x:c r="E120" s="12" t="s">
        <x:v>59</x:v>
      </x:c>
      <x:c r="F120" s="12" t="s">
        <x:v>173</x:v>
      </x:c>
      <x:c r="G120" s="12" t="s">
        <x:v>174</x:v>
      </x:c>
      <x:c r="H120" s="12" t="s">
        <x:v>149</x:v>
      </x:c>
      <x:c r="I120" s="12">
        <x:v>5</x:v>
      </x:c>
      <x:c r="J120" s="37">
        <x:v>289.89999999999998</x:v>
      </x:c>
      <x:c r="K120" s="38">
        <x:v>0</x:v>
      </x:c>
      <x:c r="L120" s="37">
        <x:v>1449.5</x:v>
      </x:c>
      <x:c r="M120" s="37">
        <x:v>1449.5</x:v>
      </x:c>
      <x:c r="N120" s="34">
        <x:v>46129</x:v>
      </x:c>
      <x:c r="O120" s="35"/>
      <x:c r="P120" s="12" t="s">
        <x:v>27</x:v>
      </x:c>
      <x:c r="Q120" s="37">
        <x:v>1117.67</x:v>
      </x:c>
      <x:c r="R120" s="37">
        <x:v>272.33999999999997</x:v>
      </x:c>
      <x:c r="S120" s="36" t="n">
        <x:f t="shared" si="15">IF(OR(B120="",N120=""),"",N120-B120)</x:f>
        <x:v>9</x:v>
      </x:c>
      <x:c r="T120" s="36" t="n">
        <x:f t="shared" ca="1" si="16">IF(P120="Cancelado","",IF(P120="Entregue",IF(O120="","",MAX(0,O120-N120)),MAX(0,TODAY()-N120)))</x:f>
        <x:v>151</x:v>
      </x:c>
      <x:c r="U120" s="12" t="str">
        <x:f t="shared" ca="1" si="17">IF(P120="Cancelado","Cancelado",IF(P120="Entregue",IF(T120&gt;0,"Entregue com atraso","Entregue no prazo"),IF(T120&gt;0,"Atrasado","Dentro do prazo")))</x:f>
        <x:v>Atrasado</x:v>
      </x:c>
      <x:c r="V120" s="37" t="n">
        <x:f t="shared" si="18">IF(OR(Q120="",R120=""),"",ROUND(Q120+R120,2))</x:f>
        <x:v>1390.01</x:v>
      </x:c>
      <x:c r="W120" s="37" t="n">
        <x:f t="shared" si="19">IF(OR(M120="",V120=""),"",ROUND(M120-V120,2))</x:f>
        <x:v>59.49</x:v>
      </x:c>
    </x:row>
    <x:row r="121">
      <x:c r="A121" s="12" t="s">
        <x:v>288</x:v>
      </x:c>
      <x:c r="B121" s="34">
        <x:v>46102</x:v>
      </x:c>
      <x:c r="C121" s="12" t="s">
        <x:v>107</x:v>
      </x:c>
      <x:c r="D121" s="12" t="s">
        <x:v>108</x:v>
      </x:c>
      <x:c r="E121" s="12" t="s">
        <x:v>109</x:v>
      </x:c>
      <x:c r="F121" s="12" t="s">
        <x:v>104</x:v>
      </x:c>
      <x:c r="G121" s="12" t="s">
        <x:v>105</x:v>
      </x:c>
      <x:c r="H121" s="12" t="s">
        <x:v>74</x:v>
      </x:c>
      <x:c r="I121" s="12">
        <x:v>2</x:v>
      </x:c>
      <x:c r="J121" s="37">
        <x:v>699.9</x:v>
      </x:c>
      <x:c r="K121" s="38">
        <x:v>0.03</x:v>
      </x:c>
      <x:c r="L121" s="37">
        <x:v>1399.8</x:v>
      </x:c>
      <x:c r="M121" s="37">
        <x:v>1357.81</x:v>
      </x:c>
      <x:c r="N121" s="34">
        <x:v>46108</x:v>
      </x:c>
      <x:c r="O121" s="34">
        <x:v>46108</x:v>
      </x:c>
      <x:c r="P121" s="12" t="s">
        <x:v>28</x:v>
      </x:c>
      <x:c r="Q121" s="37">
        <x:v>1028.71</x:v>
      </x:c>
      <x:c r="R121" s="37">
        <x:v>215.19</x:v>
      </x:c>
      <x:c r="S121" s="36" t="n">
        <x:f t="shared" si="15">IF(OR(B121="",N121=""),"",N121-B121)</x:f>
        <x:v>6</x:v>
      </x:c>
      <x:c r="T121" s="36" t="n">
        <x:f t="shared" ca="1" si="16">IF(P121="Cancelado","",IF(P121="Entregue",IF(O121="","",MAX(0,O121-N121)),MAX(0,TODAY()-N121)))</x:f>
        <x:v>0</x:v>
      </x:c>
      <x:c r="U121" s="12" t="str">
        <x:f t="shared" ca="1" si="17">IF(P121="Cancelado","Cancelado",IF(P121="Entregue",IF(T121&gt;0,"Entregue com atraso","Entregue no prazo"),IF(T121&gt;0,"Atrasado","Dentro do prazo")))</x:f>
        <x:v>Entregue no prazo</x:v>
      </x:c>
      <x:c r="V121" s="37" t="n">
        <x:f t="shared" si="18">IF(OR(Q121="",R121=""),"",ROUND(Q121+R121,2))</x:f>
        <x:v>1243.9</x:v>
      </x:c>
      <x:c r="W121" s="37" t="n">
        <x:f t="shared" si="19">IF(OR(M121="",V121=""),"",ROUND(M121-V121,2))</x:f>
        <x:v>113.91</x:v>
      </x:c>
    </x:row>
  </x:sheetData>
  <x:conditionalFormatting sqref="U2:U121">
    <x:cfRule type="cellIs" dxfId="5" priority="1" operator="equal">
      <x:formula>"Atrasado"</x:formula>
    </x:cfRule>
    <x:cfRule type="cellIs" dxfId="4" priority="2" operator="equal">
      <x:formula>"Entregue com atraso"</x:formula>
    </x:cfRule>
    <x:cfRule type="expression" dxfId="3" priority="3">
      <x:formula>$U2="Atrasado"</x:formula>
    </x:cfRule>
    <x:cfRule type="expression" dxfId="2" priority="4">
      <x:formula>$U2="Entregue com atraso"</x:formula>
    </x:cfRule>
    <x:cfRule type="expression" dxfId="1" priority="5">
      <x:formula>$U2="Dentro do prazo"</x:formula>
    </x:cfRule>
    <x:cfRule type="expression" dxfId="0" priority="6">
      <x:formula>$U2="Entregue no prazo"</x:formula>
    </x:cfRule>
  </x:conditionalFormatting>
  <x:dataValidations count="1">
    <x:dataValidation type="list" error="Selecione um status válido." sqref="P2:P1048576">
      <x:formula1>"Pendente,Em produção,Em transporte,Entregue,Cancelado"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FF00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3" customWidth="1"/>
    <x:col min="2" max="2" width="28" customWidth="1"/>
    <x:col min="3" max="3" width="15" customWidth="1"/>
    <x:col min="4" max="4" width="8" customWidth="1"/>
    <x:col min="5" max="5" width="15" customWidth="1"/>
  </x:cols>
  <x:sheetData>
    <x:row r="1" ht="24" customHeight="1">
      <x:c r="A1" s="1" t="s">
        <x:v>38</x:v>
      </x:c>
      <x:c r="B1" s="1" t="s">
        <x:v>39</x:v>
      </x:c>
      <x:c r="C1" s="1" t="s">
        <x:v>40</x:v>
      </x:c>
      <x:c r="D1" s="1" t="s">
        <x:v>289</x:v>
      </x:c>
      <x:c r="E1" s="1" t="s">
        <x:v>290</x:v>
      </x:c>
    </x:row>
    <x:row r="2">
      <x:c r="A2" s="12" t="s">
        <x:v>291</x:v>
      </x:c>
      <x:c r="B2" s="12" t="s">
        <x:v>292</x:v>
      </x:c>
      <x:c r="C2" s="12" t="s">
        <x:v>164</x:v>
      </x:c>
      <x:c r="D2" s="12" t="s">
        <x:v>293</x:v>
      </x:c>
      <x:c r="E2" s="12" t="s">
        <x:v>294</x:v>
      </x:c>
    </x:row>
    <x:row r="3">
      <x:c r="A3" s="12" t="s">
        <x:v>79</x:v>
      </x:c>
      <x:c r="B3" s="12" t="s">
        <x:v>80</x:v>
      </x:c>
      <x:c r="C3" s="12" t="s">
        <x:v>81</x:v>
      </x:c>
      <x:c r="D3" s="12" t="s">
        <x:v>293</x:v>
      </x:c>
      <x:c r="E3" s="12" t="s">
        <x:v>295</x:v>
      </x:c>
    </x:row>
    <x:row r="4">
      <x:c r="A4" s="12" t="s">
        <x:v>69</x:v>
      </x:c>
      <x:c r="B4" s="12" t="s">
        <x:v>70</x:v>
      </x:c>
      <x:c r="C4" s="12" t="s">
        <x:v>71</x:v>
      </x:c>
      <x:c r="D4" s="12" t="s">
        <x:v>293</x:v>
      </x:c>
      <x:c r="E4" s="12" t="s">
        <x:v>294</x:v>
      </x:c>
    </x:row>
    <x:row r="5">
      <x:c r="A5" s="12" t="s">
        <x:v>119</x:v>
      </x:c>
      <x:c r="B5" s="12" t="s">
        <x:v>120</x:v>
      </x:c>
      <x:c r="C5" s="12" t="s">
        <x:v>117</x:v>
      </x:c>
      <x:c r="D5" s="12" t="s">
        <x:v>293</x:v>
      </x:c>
      <x:c r="E5" s="12" t="s">
        <x:v>294</x:v>
      </x:c>
    </x:row>
    <x:row r="6">
      <x:c r="A6" s="12" t="s">
        <x:v>142</x:v>
      </x:c>
      <x:c r="B6" s="12" t="s">
        <x:v>143</x:v>
      </x:c>
      <x:c r="C6" s="12" t="s">
        <x:v>103</x:v>
      </x:c>
      <x:c r="D6" s="12" t="s">
        <x:v>293</x:v>
      </x:c>
      <x:c r="E6" s="12" t="s">
        <x:v>294</x:v>
      </x:c>
    </x:row>
    <x:row r="7">
      <x:c r="A7" s="12" t="s">
        <x:v>296</x:v>
      </x:c>
      <x:c r="B7" s="12" t="s">
        <x:v>297</x:v>
      </x:c>
      <x:c r="C7" s="12" t="s">
        <x:v>109</x:v>
      </x:c>
      <x:c r="D7" s="12" t="s">
        <x:v>293</x:v>
      </x:c>
      <x:c r="E7" s="12" t="s">
        <x:v>294</x:v>
      </x:c>
    </x:row>
    <x:row r="8">
      <x:c r="A8" s="12" t="s">
        <x:v>128</x:v>
      </x:c>
      <x:c r="B8" s="12" t="s">
        <x:v>129</x:v>
      </x:c>
      <x:c r="C8" s="12" t="s">
        <x:v>130</x:v>
      </x:c>
      <x:c r="D8" s="12" t="s">
        <x:v>293</x:v>
      </x:c>
      <x:c r="E8" s="12" t="s">
        <x:v>295</x:v>
      </x:c>
    </x:row>
    <x:row r="9">
      <x:c r="A9" s="12" t="s">
        <x:v>137</x:v>
      </x:c>
      <x:c r="B9" s="12" t="s">
        <x:v>138</x:v>
      </x:c>
      <x:c r="C9" s="12" t="s">
        <x:v>59</x:v>
      </x:c>
      <x:c r="D9" s="12" t="s">
        <x:v>293</x:v>
      </x:c>
      <x:c r="E9" s="12" t="s">
        <x:v>295</x:v>
      </x:c>
    </x:row>
    <x:row r="10">
      <x:c r="A10" s="12" t="s">
        <x:v>210</x:v>
      </x:c>
      <x:c r="B10" s="12" t="s">
        <x:v>211</x:v>
      </x:c>
      <x:c r="C10" s="12" t="s">
        <x:v>94</x:v>
      </x:c>
      <x:c r="D10" s="12" t="s">
        <x:v>293</x:v>
      </x:c>
      <x:c r="E10" s="12" t="s">
        <x:v>294</x:v>
      </x:c>
    </x:row>
    <x:row r="11">
      <x:c r="A11" s="12" t="s">
        <x:v>168</x:v>
      </x:c>
      <x:c r="B11" s="12" t="s">
        <x:v>169</x:v>
      </x:c>
      <x:c r="C11" s="12" t="s">
        <x:v>164</x:v>
      </x:c>
      <x:c r="D11" s="12" t="s">
        <x:v>293</x:v>
      </x:c>
      <x:c r="E11" s="12" t="s">
        <x:v>294</x:v>
      </x:c>
    </x:row>
    <x:row r="12">
      <x:c r="A12" s="12" t="s">
        <x:v>134</x:v>
      </x:c>
      <x:c r="B12" s="12" t="s">
        <x:v>135</x:v>
      </x:c>
      <x:c r="C12" s="12" t="s">
        <x:v>81</x:v>
      </x:c>
      <x:c r="D12" s="12" t="s">
        <x:v>293</x:v>
      </x:c>
      <x:c r="E12" s="12" t="s">
        <x:v>295</x:v>
      </x:c>
    </x:row>
    <x:row r="13">
      <x:c r="A13" s="12" t="s">
        <x:v>86</x:v>
      </x:c>
      <x:c r="B13" s="12" t="s">
        <x:v>87</x:v>
      </x:c>
      <x:c r="C13" s="12" t="s">
        <x:v>71</x:v>
      </x:c>
      <x:c r="D13" s="12" t="s">
        <x:v>293</x:v>
      </x:c>
      <x:c r="E13" s="12" t="s">
        <x:v>294</x:v>
      </x:c>
    </x:row>
    <x:row r="14">
      <x:c r="A14" s="12" t="s">
        <x:v>115</x:v>
      </x:c>
      <x:c r="B14" s="12" t="s">
        <x:v>116</x:v>
      </x:c>
      <x:c r="C14" s="12" t="s">
        <x:v>117</x:v>
      </x:c>
      <x:c r="D14" s="12" t="s">
        <x:v>293</x:v>
      </x:c>
      <x:c r="E14" s="12" t="s">
        <x:v>294</x:v>
      </x:c>
    </x:row>
    <x:row r="15">
      <x:c r="A15" s="12" t="s">
        <x:v>193</x:v>
      </x:c>
      <x:c r="B15" s="12" t="s">
        <x:v>194</x:v>
      </x:c>
      <x:c r="C15" s="12" t="s">
        <x:v>103</x:v>
      </x:c>
      <x:c r="D15" s="12" t="s">
        <x:v>293</x:v>
      </x:c>
      <x:c r="E15" s="12" t="s">
        <x:v>294</x:v>
      </x:c>
    </x:row>
    <x:row r="16">
      <x:c r="A16" s="12" t="s">
        <x:v>187</x:v>
      </x:c>
      <x:c r="B16" s="12" t="s">
        <x:v>188</x:v>
      </x:c>
      <x:c r="C16" s="12" t="s">
        <x:v>109</x:v>
      </x:c>
      <x:c r="D16" s="12" t="s">
        <x:v>293</x:v>
      </x:c>
      <x:c r="E16" s="12" t="s">
        <x:v>294</x:v>
      </x:c>
    </x:row>
    <x:row r="17">
      <x:c r="A17" s="12" t="s">
        <x:v>217</x:v>
      </x:c>
      <x:c r="B17" s="12" t="s">
        <x:v>218</x:v>
      </x:c>
      <x:c r="C17" s="12" t="s">
        <x:v>130</x:v>
      </x:c>
      <x:c r="D17" s="12" t="s">
        <x:v>293</x:v>
      </x:c>
      <x:c r="E17" s="12" t="s">
        <x:v>295</x:v>
      </x:c>
    </x:row>
    <x:row r="18">
      <x:c r="A18" s="12" t="s">
        <x:v>57</x:v>
      </x:c>
      <x:c r="B18" s="12" t="s">
        <x:v>58</x:v>
      </x:c>
      <x:c r="C18" s="12" t="s">
        <x:v>59</x:v>
      </x:c>
      <x:c r="D18" s="12" t="s">
        <x:v>293</x:v>
      </x:c>
      <x:c r="E18" s="12" t="s">
        <x:v>295</x:v>
      </x:c>
    </x:row>
    <x:row r="19">
      <x:c r="A19" s="12" t="s">
        <x:v>92</x:v>
      </x:c>
      <x:c r="B19" s="12" t="s">
        <x:v>93</x:v>
      </x:c>
      <x:c r="C19" s="12" t="s">
        <x:v>94</x:v>
      </x:c>
      <x:c r="D19" s="12" t="s">
        <x:v>293</x:v>
      </x:c>
      <x:c r="E19" s="12" t="s">
        <x:v>294</x:v>
      </x:c>
    </x:row>
    <x:row r="20">
      <x:c r="A20" s="12" t="s">
        <x:v>177</x:v>
      </x:c>
      <x:c r="B20" s="12" t="s">
        <x:v>178</x:v>
      </x:c>
      <x:c r="C20" s="12" t="s">
        <x:v>164</x:v>
      </x:c>
      <x:c r="D20" s="12" t="s">
        <x:v>293</x:v>
      </x:c>
      <x:c r="E20" s="12" t="s">
        <x:v>294</x:v>
      </x:c>
    </x:row>
    <x:row r="21">
      <x:c r="A21" s="12" t="s">
        <x:v>200</x:v>
      </x:c>
      <x:c r="B21" s="12" t="s">
        <x:v>201</x:v>
      </x:c>
      <x:c r="C21" s="12" t="s">
        <x:v>81</x:v>
      </x:c>
      <x:c r="D21" s="12" t="s">
        <x:v>293</x:v>
      </x:c>
      <x:c r="E21" s="12" t="s">
        <x:v>295</x:v>
      </x:c>
    </x:row>
    <x:row r="22">
      <x:c r="A22" s="12" t="s">
        <x:v>180</x:v>
      </x:c>
      <x:c r="B22" s="12" t="s">
        <x:v>181</x:v>
      </x:c>
      <x:c r="C22" s="12" t="s">
        <x:v>71</x:v>
      </x:c>
      <x:c r="D22" s="12" t="s">
        <x:v>293</x:v>
      </x:c>
      <x:c r="E22" s="12" t="s">
        <x:v>294</x:v>
      </x:c>
    </x:row>
    <x:row r="23">
      <x:c r="A23" s="12" t="s">
        <x:v>206</x:v>
      </x:c>
      <x:c r="B23" s="12" t="s">
        <x:v>207</x:v>
      </x:c>
      <x:c r="C23" s="12" t="s">
        <x:v>117</x:v>
      </x:c>
      <x:c r="D23" s="12" t="s">
        <x:v>293</x:v>
      </x:c>
      <x:c r="E23" s="12" t="s">
        <x:v>294</x:v>
      </x:c>
    </x:row>
    <x:row r="24">
      <x:c r="A24" s="12" t="s">
        <x:v>101</x:v>
      </x:c>
      <x:c r="B24" s="12" t="s">
        <x:v>102</x:v>
      </x:c>
      <x:c r="C24" s="12" t="s">
        <x:v>103</x:v>
      </x:c>
      <x:c r="D24" s="12" t="s">
        <x:v>293</x:v>
      </x:c>
      <x:c r="E24" s="12" t="s">
        <x:v>294</x:v>
      </x:c>
    </x:row>
    <x:row r="25">
      <x:c r="A25" s="12" t="s">
        <x:v>107</x:v>
      </x:c>
      <x:c r="B25" s="12" t="s">
        <x:v>108</x:v>
      </x:c>
      <x:c r="C25" s="12" t="s">
        <x:v>109</x:v>
      </x:c>
      <x:c r="D25" s="12" t="s">
        <x:v>293</x:v>
      </x:c>
      <x:c r="E25" s="12" t="s">
        <x:v>294</x:v>
      </x:c>
    </x:row>
    <x:row r="26">
      <x:c r="A26" s="12" t="s">
        <x:v>145</x:v>
      </x:c>
      <x:c r="B26" s="12" t="s">
        <x:v>146</x:v>
      </x:c>
      <x:c r="C26" s="12" t="s">
        <x:v>130</x:v>
      </x:c>
      <x:c r="D26" s="12" t="s">
        <x:v>293</x:v>
      </x:c>
      <x:c r="E26" s="12" t="s">
        <x:v>295</x:v>
      </x:c>
    </x:row>
    <x:row r="27">
      <x:c r="A27" s="12" t="s">
        <x:v>64</x:v>
      </x:c>
      <x:c r="B27" s="12" t="s">
        <x:v>65</x:v>
      </x:c>
      <x:c r="C27" s="12" t="s">
        <x:v>59</x:v>
      </x:c>
      <x:c r="D27" s="12" t="s">
        <x:v>293</x:v>
      </x:c>
      <x:c r="E27" s="12" t="s">
        <x:v>295</x:v>
      </x:c>
    </x:row>
    <x:row r="28">
      <x:c r="A28" s="12" t="s">
        <x:v>96</x:v>
      </x:c>
      <x:c r="B28" s="12" t="s">
        <x:v>97</x:v>
      </x:c>
      <x:c r="C28" s="12" t="s">
        <x:v>94</x:v>
      </x:c>
      <x:c r="D28" s="12" t="s">
        <x:v>293</x:v>
      </x:c>
      <x:c r="E28" s="12" t="s">
        <x:v>294</x:v>
      </x:c>
    </x:row>
    <x:row r="29">
      <x:c r="A29" s="12" t="s">
        <x:v>162</x:v>
      </x:c>
      <x:c r="B29" s="12" t="s">
        <x:v>163</x:v>
      </x:c>
      <x:c r="C29" s="12" t="s">
        <x:v>164</x:v>
      </x:c>
      <x:c r="D29" s="12" t="s">
        <x:v>293</x:v>
      </x:c>
      <x:c r="E29" s="12" t="s">
        <x:v>294</x:v>
      </x:c>
    </x:row>
    <x:row r="30">
      <x:c r="A30" s="12" t="s">
        <x:v>122</x:v>
      </x:c>
      <x:c r="B30" s="12" t="s">
        <x:v>123</x:v>
      </x:c>
      <x:c r="C30" s="12" t="s">
        <x:v>81</x:v>
      </x:c>
      <x:c r="D30" s="12" t="s">
        <x:v>293</x:v>
      </x:c>
      <x:c r="E30" s="12" t="s">
        <x:v>295</x:v>
      </x:c>
    </x:row>
    <x:row r="31">
      <x:c r="A31" s="12" t="s">
        <x:v>171</x:v>
      </x:c>
      <x:c r="B31" s="12" t="s">
        <x:v>172</x:v>
      </x:c>
      <x:c r="C31" s="12" t="s">
        <x:v>71</x:v>
      </x:c>
      <x:c r="D31" s="12" t="s">
        <x:v>293</x:v>
      </x:c>
      <x:c r="E31" s="12" t="s">
        <x:v>294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FF00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3" customWidth="1"/>
    <x:col min="2" max="2" width="30" customWidth="1"/>
    <x:col min="3" max="3" width="18" customWidth="1"/>
    <x:col min="4" max="4" width="22" customWidth="1"/>
    <x:col min="5" max="6" width="15" customWidth="1"/>
  </x:cols>
  <x:sheetData>
    <x:row r="1" ht="24" customHeight="1">
      <x:c r="A1" s="1" t="s">
        <x:v>41</x:v>
      </x:c>
      <x:c r="B1" s="1" t="s">
        <x:v>42</x:v>
      </x:c>
      <x:c r="C1" s="1" t="s">
        <x:v>24</x:v>
      </x:c>
      <x:c r="D1" s="1" t="s">
        <x:v>298</x:v>
      </x:c>
      <x:c r="E1" s="1" t="s">
        <x:v>299</x:v>
      </x:c>
      <x:c r="F1" s="1" t="s">
        <x:v>300</x:v>
      </x:c>
    </x:row>
    <x:row r="2">
      <x:c r="A2" s="12" t="s">
        <x:v>66</x:v>
      </x:c>
      <x:c r="B2" s="12" t="s">
        <x:v>67</x:v>
      </x:c>
      <x:c r="C2" s="12" t="s">
        <x:v>62</x:v>
      </x:c>
      <x:c r="D2" s="12" t="s">
        <x:v>301</x:v>
      </x:c>
      <x:c r="E2" s="4">
        <x:v>389.9</x:v>
      </x:c>
      <x:c r="F2" s="12">
        <x:v>28</x:v>
      </x:c>
    </x:row>
    <x:row r="3">
      <x:c r="A3" s="12" t="s">
        <x:v>98</x:v>
      </x:c>
      <x:c r="B3" s="12" t="s">
        <x:v>99</x:v>
      </x:c>
      <x:c r="C3" s="12" t="s">
        <x:v>62</x:v>
      </x:c>
      <x:c r="D3" s="12" t="s">
        <x:v>301</x:v>
      </x:c>
      <x:c r="E3" s="4">
        <x:v>749.9</x:v>
      </x:c>
      <x:c r="F3" s="12">
        <x:v>14</x:v>
      </x:c>
    </x:row>
    <x:row r="4">
      <x:c r="A4" s="12" t="s">
        <x:v>151</x:v>
      </x:c>
      <x:c r="B4" s="12" t="s">
        <x:v>152</x:v>
      </x:c>
      <x:c r="C4" s="12" t="s">
        <x:v>62</x:v>
      </x:c>
      <x:c r="D4" s="12" t="s">
        <x:v>301</x:v>
      </x:c>
      <x:c r="E4" s="4">
        <x:v>989.9</x:v>
      </x:c>
      <x:c r="F4" s="12">
        <x:v>10</x:v>
      </x:c>
    </x:row>
    <x:row r="5">
      <x:c r="A5" s="12" t="s">
        <x:v>159</x:v>
      </x:c>
      <x:c r="B5" s="12" t="s">
        <x:v>160</x:v>
      </x:c>
      <x:c r="C5" s="12" t="s">
        <x:v>62</x:v>
      </x:c>
      <x:c r="D5" s="12" t="s">
        <x:v>301</x:v>
      </x:c>
      <x:c r="E5" s="4">
        <x:v>329.9</x:v>
      </x:c>
      <x:c r="F5" s="12">
        <x:v>22</x:v>
      </x:c>
    </x:row>
    <x:row r="6">
      <x:c r="A6" s="12" t="s">
        <x:v>131</x:v>
      </x:c>
      <x:c r="B6" s="12" t="s">
        <x:v>132</x:v>
      </x:c>
      <x:c r="C6" s="12" t="s">
        <x:v>90</x:v>
      </x:c>
      <x:c r="D6" s="12" t="s">
        <x:v>301</x:v>
      </x:c>
      <x:c r="E6" s="4">
        <x:v>899.9</x:v>
      </x:c>
      <x:c r="F6" s="12">
        <x:v>12</x:v>
      </x:c>
    </x:row>
    <x:row r="7">
      <x:c r="A7" s="12" t="s">
        <x:v>88</x:v>
      </x:c>
      <x:c r="B7" s="12" t="s">
        <x:v>89</x:v>
      </x:c>
      <x:c r="C7" s="12" t="s">
        <x:v>90</x:v>
      </x:c>
      <x:c r="D7" s="12" t="s">
        <x:v>301</x:v>
      </x:c>
      <x:c r="E7" s="4">
        <x:v>649.9</x:v>
      </x:c>
      <x:c r="F7" s="12">
        <x:v>17</x:v>
      </x:c>
    </x:row>
    <x:row r="8">
      <x:c r="A8" s="12" t="s">
        <x:v>147</x:v>
      </x:c>
      <x:c r="B8" s="12" t="s">
        <x:v>148</x:v>
      </x:c>
      <x:c r="C8" s="12" t="s">
        <x:v>149</x:v>
      </x:c>
      <x:c r="D8" s="12" t="s">
        <x:v>301</x:v>
      </x:c>
      <x:c r="E8" s="4">
        <x:v>459.9</x:v>
      </x:c>
      <x:c r="F8" s="12">
        <x:v>25</x:v>
      </x:c>
    </x:row>
    <x:row r="9">
      <x:c r="A9" s="12" t="s">
        <x:v>82</x:v>
      </x:c>
      <x:c r="B9" s="12" t="s">
        <x:v>83</x:v>
      </x:c>
      <x:c r="C9" s="12" t="s">
        <x:v>84</x:v>
      </x:c>
      <x:c r="D9" s="12" t="s">
        <x:v>302</x:v>
      </x:c>
      <x:c r="E9" s="4">
        <x:v>729.9</x:v>
      </x:c>
      <x:c r="F9" s="12">
        <x:v>11</x:v>
      </x:c>
    </x:row>
    <x:row r="10">
      <x:c r="A10" s="12" t="s">
        <x:v>124</x:v>
      </x:c>
      <x:c r="B10" s="12" t="s">
        <x:v>125</x:v>
      </x:c>
      <x:c r="C10" s="12" t="s">
        <x:v>126</x:v>
      </x:c>
      <x:c r="D10" s="12" t="s">
        <x:v>302</x:v>
      </x:c>
      <x:c r="E10" s="4">
        <x:v>579.9</x:v>
      </x:c>
      <x:c r="F10" s="12">
        <x:v>16</x:v>
      </x:c>
    </x:row>
    <x:row r="11">
      <x:c r="A11" s="12" t="s">
        <x:v>182</x:v>
      </x:c>
      <x:c r="B11" s="12" t="s">
        <x:v>183</x:v>
      </x:c>
      <x:c r="C11" s="12" t="s">
        <x:v>184</x:v>
      </x:c>
      <x:c r="D11" s="12" t="s">
        <x:v>301</x:v>
      </x:c>
      <x:c r="E11" s="4">
        <x:v>1099.9000000000001</x:v>
      </x:c>
      <x:c r="F11" s="12">
        <x:v>8</x:v>
      </x:c>
    </x:row>
    <x:row r="12">
      <x:c r="A12" s="12" t="s">
        <x:v>104</x:v>
      </x:c>
      <x:c r="B12" s="12" t="s">
        <x:v>105</x:v>
      </x:c>
      <x:c r="C12" s="12" t="s">
        <x:v>74</x:v>
      </x:c>
      <x:c r="D12" s="12" t="s">
        <x:v>303</x:v>
      </x:c>
      <x:c r="E12" s="4">
        <x:v>699.9</x:v>
      </x:c>
      <x:c r="F12" s="12">
        <x:v>32</x:v>
      </x:c>
    </x:row>
    <x:row r="13">
      <x:c r="A13" s="12" t="s">
        <x:v>196</x:v>
      </x:c>
      <x:c r="B13" s="12" t="s">
        <x:v>197</x:v>
      </x:c>
      <x:c r="C13" s="12" t="s">
        <x:v>74</x:v>
      </x:c>
      <x:c r="D13" s="12" t="s">
        <x:v>303</x:v>
      </x:c>
      <x:c r="E13" s="4">
        <x:v>1199.9000000000001</x:v>
      </x:c>
      <x:c r="F13" s="12">
        <x:v>15</x:v>
      </x:c>
    </x:row>
    <x:row r="14">
      <x:c r="A14" s="12" t="s">
        <x:v>72</x:v>
      </x:c>
      <x:c r="B14" s="12" t="s">
        <x:v>73</x:v>
      </x:c>
      <x:c r="C14" s="12" t="s">
        <x:v>74</x:v>
      </x:c>
      <x:c r="D14" s="12" t="s">
        <x:v>303</x:v>
      </x:c>
      <x:c r="E14" s="4">
        <x:v>1349.9</x:v>
      </x:c>
      <x:c r="F14" s="12">
        <x:v>9</x:v>
      </x:c>
    </x:row>
    <x:row r="15">
      <x:c r="A15" s="12" t="s">
        <x:v>156</x:v>
      </x:c>
      <x:c r="B15" s="12" t="s">
        <x:v>157</x:v>
      </x:c>
      <x:c r="C15" s="12" t="s">
        <x:v>74</x:v>
      </x:c>
      <x:c r="D15" s="12" t="s">
        <x:v>303</x:v>
      </x:c>
      <x:c r="E15" s="4">
        <x:v>849.9</x:v>
      </x:c>
      <x:c r="F15" s="12">
        <x:v>13</x:v>
      </x:c>
    </x:row>
    <x:row r="16">
      <x:c r="A16" s="12" t="s">
        <x:v>221</x:v>
      </x:c>
      <x:c r="B16" s="12" t="s">
        <x:v>222</x:v>
      </x:c>
      <x:c r="C16" s="12" t="s">
        <x:v>113</x:v>
      </x:c>
      <x:c r="D16" s="12" t="s">
        <x:v>113</x:v>
      </x:c>
      <x:c r="E16" s="4">
        <x:v>499.9</x:v>
      </x:c>
      <x:c r="F16" s="12">
        <x:v>20</x:v>
      </x:c>
    </x:row>
    <x:row r="17">
      <x:c r="A17" s="12" t="s">
        <x:v>111</x:v>
      </x:c>
      <x:c r="B17" s="12" t="s">
        <x:v>112</x:v>
      </x:c>
      <x:c r="C17" s="12" t="s">
        <x:v>113</x:v>
      </x:c>
      <x:c r="D17" s="12" t="s">
        <x:v>113</x:v>
      </x:c>
      <x:c r="E17" s="4">
        <x:v>599.9</x:v>
      </x:c>
      <x:c r="F17" s="12">
        <x:v>15</x:v>
      </x:c>
    </x:row>
    <x:row r="18">
      <x:c r="A18" s="12" t="s">
        <x:v>173</x:v>
      </x:c>
      <x:c r="B18" s="12" t="s">
        <x:v>174</x:v>
      </x:c>
      <x:c r="C18" s="12" t="s">
        <x:v>149</x:v>
      </x:c>
      <x:c r="D18" s="12" t="s">
        <x:v>301</x:v>
      </x:c>
      <x:c r="E18" s="4">
        <x:v>289.89999999999998</x:v>
      </x:c>
      <x:c r="F18" s="12">
        <x:v>26</x:v>
      </x:c>
    </x:row>
    <x:row r="19">
      <x:c r="A19" s="12" t="s">
        <x:v>76</x:v>
      </x:c>
      <x:c r="B19" s="12" t="s">
        <x:v>77</x:v>
      </x:c>
      <x:c r="C19" s="12" t="s">
        <x:v>62</x:v>
      </x:c>
      <x:c r="D19" s="12" t="s">
        <x:v>301</x:v>
      </x:c>
      <x:c r="E19" s="4">
        <x:v>689.9</x:v>
      </x:c>
      <x:c r="F19" s="12">
        <x:v>12</x:v>
      </x:c>
    </x:row>
    <x:row r="20">
      <x:c r="A20" s="12" t="s">
        <x:v>139</x:v>
      </x:c>
      <x:c r="B20" s="12" t="s">
        <x:v>140</x:v>
      </x:c>
      <x:c r="C20" s="12" t="s">
        <x:v>90</x:v>
      </x:c>
      <x:c r="D20" s="12" t="s">
        <x:v>302</x:v>
      </x:c>
      <x:c r="E20" s="4">
        <x:v>779.9</x:v>
      </x:c>
      <x:c r="F20" s="12">
        <x:v>7</x:v>
      </x:c>
    </x:row>
    <x:row r="21">
      <x:c r="A21" s="12" t="s">
        <x:v>60</x:v>
      </x:c>
      <x:c r="B21" s="12" t="s">
        <x:v>61</x:v>
      </x:c>
      <x:c r="C21" s="12" t="s">
        <x:v>62</x:v>
      </x:c>
      <x:c r="D21" s="12" t="s">
        <x:v>301</x:v>
      </x:c>
      <x:c r="E21" s="4">
        <x:v>849.9</x:v>
      </x:c>
      <x:c r="F21" s="12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3" customWidth="1"/>
    <x:col min="2" max="2" width="30" customWidth="1"/>
    <x:col min="3" max="3" width="18" customWidth="1"/>
    <x:col min="4" max="5" width="15" customWidth="1"/>
    <x:col min="6" max="6" width="20" customWidth="1"/>
  </x:cols>
  <x:sheetData>
    <x:row r="1" ht="24" customHeight="1">
      <x:c r="A1" s="1" t="s">
        <x:v>41</x:v>
      </x:c>
      <x:c r="B1" s="1" t="s">
        <x:v>42</x:v>
      </x:c>
      <x:c r="C1" s="1" t="s">
        <x:v>24</x:v>
      </x:c>
      <x:c r="D1" s="1" t="s">
        <x:v>304</x:v>
      </x:c>
      <x:c r="E1" s="1" t="s">
        <x:v>300</x:v>
      </x:c>
      <x:c r="F1" s="6" t="s">
        <x:v>305</x:v>
      </x:c>
    </x:row>
    <x:row r="2">
      <x:c r="A2" s="12" t="s">
        <x:v>66</x:v>
      </x:c>
      <x:c r="B2" s="12" t="s">
        <x:v>67</x:v>
      </x:c>
      <x:c r="C2" s="12" t="s">
        <x:v>62</x:v>
      </x:c>
      <x:c r="D2" s="12">
        <x:v>50</x:v>
      </x:c>
      <x:c r="E2" s="12">
        <x:v>28</x:v>
      </x:c>
      <x:c r="F2" s="12" t="str">
        <x:f t="shared" ref="F2:F21" si="0">IF(D2&lt;=E2,"Abaixo do mínimo","Estoque adequado")</x:f>
        <x:v>Estoque adequado</x:v>
      </x:c>
    </x:row>
    <x:row r="3">
      <x:c r="A3" s="12" t="s">
        <x:v>98</x:v>
      </x:c>
      <x:c r="B3" s="12" t="s">
        <x:v>99</x:v>
      </x:c>
      <x:c r="C3" s="12" t="s">
        <x:v>62</x:v>
      </x:c>
      <x:c r="D3" s="12">
        <x:v>19</x:v>
      </x:c>
      <x:c r="E3" s="12">
        <x:v>14</x:v>
      </x:c>
      <x:c r="F3" s="12" t="str">
        <x:f t="shared" si="0"/>
        <x:v>Estoque adequado</x:v>
      </x:c>
    </x:row>
    <x:row r="4">
      <x:c r="A4" s="12" t="s">
        <x:v>151</x:v>
      </x:c>
      <x:c r="B4" s="12" t="s">
        <x:v>152</x:v>
      </x:c>
      <x:c r="C4" s="12" t="s">
        <x:v>62</x:v>
      </x:c>
      <x:c r="D4" s="12">
        <x:v>12</x:v>
      </x:c>
      <x:c r="E4" s="12">
        <x:v>10</x:v>
      </x:c>
      <x:c r="F4" s="12" t="str">
        <x:f t="shared" si="0"/>
        <x:v>Estoque adequado</x:v>
      </x:c>
    </x:row>
    <x:row r="5">
      <x:c r="A5" s="12" t="s">
        <x:v>159</x:v>
      </x:c>
      <x:c r="B5" s="12" t="s">
        <x:v>160</x:v>
      </x:c>
      <x:c r="C5" s="12" t="s">
        <x:v>62</x:v>
      </x:c>
      <x:c r="D5" s="12">
        <x:v>47</x:v>
      </x:c>
      <x:c r="E5" s="12">
        <x:v>22</x:v>
      </x:c>
      <x:c r="F5" s="12" t="str">
        <x:f t="shared" si="0"/>
        <x:v>Estoque adequado</x:v>
      </x:c>
    </x:row>
    <x:row r="6">
      <x:c r="A6" s="12" t="s">
        <x:v>131</x:v>
      </x:c>
      <x:c r="B6" s="12" t="s">
        <x:v>132</x:v>
      </x:c>
      <x:c r="C6" s="12" t="s">
        <x:v>90</x:v>
      </x:c>
      <x:c r="D6" s="12">
        <x:v>22</x:v>
      </x:c>
      <x:c r="E6" s="12">
        <x:v>12</x:v>
      </x:c>
      <x:c r="F6" s="12" t="str">
        <x:f t="shared" si="0"/>
        <x:v>Estoque adequado</x:v>
      </x:c>
    </x:row>
    <x:row r="7">
      <x:c r="A7" s="12" t="s">
        <x:v>88</x:v>
      </x:c>
      <x:c r="B7" s="12" t="s">
        <x:v>89</x:v>
      </x:c>
      <x:c r="C7" s="12" t="s">
        <x:v>90</x:v>
      </x:c>
      <x:c r="D7" s="12">
        <x:v>26</x:v>
      </x:c>
      <x:c r="E7" s="12">
        <x:v>17</x:v>
      </x:c>
      <x:c r="F7" s="12" t="str">
        <x:f t="shared" si="0"/>
        <x:v>Estoque adequado</x:v>
      </x:c>
    </x:row>
    <x:row r="8">
      <x:c r="A8" s="12" t="s">
        <x:v>147</x:v>
      </x:c>
      <x:c r="B8" s="12" t="s">
        <x:v>148</x:v>
      </x:c>
      <x:c r="C8" s="12" t="s">
        <x:v>149</x:v>
      </x:c>
      <x:c r="D8" s="12">
        <x:v>34</x:v>
      </x:c>
      <x:c r="E8" s="12">
        <x:v>25</x:v>
      </x:c>
      <x:c r="F8" s="12" t="str">
        <x:f t="shared" si="0"/>
        <x:v>Estoque adequado</x:v>
      </x:c>
    </x:row>
    <x:row r="9">
      <x:c r="A9" s="12" t="s">
        <x:v>82</x:v>
      </x:c>
      <x:c r="B9" s="12" t="s">
        <x:v>83</x:v>
      </x:c>
      <x:c r="C9" s="12" t="s">
        <x:v>84</x:v>
      </x:c>
      <x:c r="D9" s="12">
        <x:v>17</x:v>
      </x:c>
      <x:c r="E9" s="12">
        <x:v>11</x:v>
      </x:c>
      <x:c r="F9" s="12" t="str">
        <x:f t="shared" si="0"/>
        <x:v>Estoque adequado</x:v>
      </x:c>
    </x:row>
    <x:row r="10">
      <x:c r="A10" s="12" t="s">
        <x:v>124</x:v>
      </x:c>
      <x:c r="B10" s="12" t="s">
        <x:v>125</x:v>
      </x:c>
      <x:c r="C10" s="12" t="s">
        <x:v>126</x:v>
      </x:c>
      <x:c r="D10" s="12">
        <x:v>41</x:v>
      </x:c>
      <x:c r="E10" s="12">
        <x:v>16</x:v>
      </x:c>
      <x:c r="F10" s="12" t="str">
        <x:f t="shared" si="0"/>
        <x:v>Estoque adequado</x:v>
      </x:c>
    </x:row>
    <x:row r="11">
      <x:c r="A11" s="12" t="s">
        <x:v>182</x:v>
      </x:c>
      <x:c r="B11" s="12" t="s">
        <x:v>183</x:v>
      </x:c>
      <x:c r="C11" s="12" t="s">
        <x:v>184</x:v>
      </x:c>
      <x:c r="D11" s="12">
        <x:v>13</x:v>
      </x:c>
      <x:c r="E11" s="12">
        <x:v>8</x:v>
      </x:c>
      <x:c r="F11" s="12" t="str">
        <x:f t="shared" si="0"/>
        <x:v>Estoque adequado</x:v>
      </x:c>
    </x:row>
    <x:row r="12">
      <x:c r="A12" s="12" t="s">
        <x:v>104</x:v>
      </x:c>
      <x:c r="B12" s="12" t="s">
        <x:v>105</x:v>
      </x:c>
      <x:c r="C12" s="12" t="s">
        <x:v>74</x:v>
      </x:c>
      <x:c r="D12" s="12">
        <x:v>55</x:v>
      </x:c>
      <x:c r="E12" s="12">
        <x:v>32</x:v>
      </x:c>
      <x:c r="F12" s="12" t="str">
        <x:f t="shared" si="0"/>
        <x:v>Estoque adequado</x:v>
      </x:c>
    </x:row>
    <x:row r="13">
      <x:c r="A13" s="12" t="s">
        <x:v>196</x:v>
      </x:c>
      <x:c r="B13" s="12" t="s">
        <x:v>197</x:v>
      </x:c>
      <x:c r="C13" s="12" t="s">
        <x:v>74</x:v>
      </x:c>
      <x:c r="D13" s="12">
        <x:v>40</x:v>
      </x:c>
      <x:c r="E13" s="12">
        <x:v>15</x:v>
      </x:c>
      <x:c r="F13" s="12" t="str">
        <x:f t="shared" si="0"/>
        <x:v>Estoque adequado</x:v>
      </x:c>
    </x:row>
    <x:row r="14">
      <x:c r="A14" s="12" t="s">
        <x:v>72</x:v>
      </x:c>
      <x:c r="B14" s="12" t="s">
        <x:v>73</x:v>
      </x:c>
      <x:c r="C14" s="12" t="s">
        <x:v>74</x:v>
      </x:c>
      <x:c r="D14" s="12">
        <x:v>28</x:v>
      </x:c>
      <x:c r="E14" s="12">
        <x:v>9</x:v>
      </x:c>
      <x:c r="F14" s="12" t="str">
        <x:f t="shared" si="0"/>
        <x:v>Estoque adequado</x:v>
      </x:c>
    </x:row>
    <x:row r="15">
      <x:c r="A15" s="12" t="s">
        <x:v>156</x:v>
      </x:c>
      <x:c r="B15" s="12" t="s">
        <x:v>157</x:v>
      </x:c>
      <x:c r="C15" s="12" t="s">
        <x:v>74</x:v>
      </x:c>
      <x:c r="D15" s="12">
        <x:v>17</x:v>
      </x:c>
      <x:c r="E15" s="12">
        <x:v>13</x:v>
      </x:c>
      <x:c r="F15" s="12" t="str">
        <x:f t="shared" si="0"/>
        <x:v>Estoque adequado</x:v>
      </x:c>
    </x:row>
    <x:row r="16">
      <x:c r="A16" s="12" t="s">
        <x:v>221</x:v>
      </x:c>
      <x:c r="B16" s="12" t="s">
        <x:v>222</x:v>
      </x:c>
      <x:c r="C16" s="12" t="s">
        <x:v>113</x:v>
      </x:c>
      <x:c r="D16" s="12">
        <x:v>40</x:v>
      </x:c>
      <x:c r="E16" s="12">
        <x:v>20</x:v>
      </x:c>
      <x:c r="F16" s="12" t="str">
        <x:f t="shared" si="0"/>
        <x:v>Estoque adequado</x:v>
      </x:c>
    </x:row>
    <x:row r="17">
      <x:c r="A17" s="12" t="s">
        <x:v>111</x:v>
      </x:c>
      <x:c r="B17" s="12" t="s">
        <x:v>112</x:v>
      </x:c>
      <x:c r="C17" s="12" t="s">
        <x:v>113</x:v>
      </x:c>
      <x:c r="D17" s="12">
        <x:v>30</x:v>
      </x:c>
      <x:c r="E17" s="12">
        <x:v>15</x:v>
      </x:c>
      <x:c r="F17" s="12" t="str">
        <x:f t="shared" si="0"/>
        <x:v>Estoque adequado</x:v>
      </x:c>
    </x:row>
    <x:row r="18">
      <x:c r="A18" s="12" t="s">
        <x:v>173</x:v>
      </x:c>
      <x:c r="B18" s="12" t="s">
        <x:v>174</x:v>
      </x:c>
      <x:c r="C18" s="12" t="s">
        <x:v>149</x:v>
      </x:c>
      <x:c r="D18" s="12">
        <x:v>29</x:v>
      </x:c>
      <x:c r="E18" s="12">
        <x:v>26</x:v>
      </x:c>
      <x:c r="F18" s="12" t="str">
        <x:f t="shared" si="0"/>
        <x:v>Estoque adequado</x:v>
      </x:c>
    </x:row>
    <x:row r="19">
      <x:c r="A19" s="12" t="s">
        <x:v>76</x:v>
      </x:c>
      <x:c r="B19" s="12" t="s">
        <x:v>77</x:v>
      </x:c>
      <x:c r="C19" s="12" t="s">
        <x:v>62</x:v>
      </x:c>
      <x:c r="D19" s="12">
        <x:v>14</x:v>
      </x:c>
      <x:c r="E19" s="12">
        <x:v>12</x:v>
      </x:c>
      <x:c r="F19" s="12" t="str">
        <x:f t="shared" si="0"/>
        <x:v>Estoque adequado</x:v>
      </x:c>
    </x:row>
    <x:row r="20">
      <x:c r="A20" s="12" t="s">
        <x:v>139</x:v>
      </x:c>
      <x:c r="B20" s="12" t="s">
        <x:v>140</x:v>
      </x:c>
      <x:c r="C20" s="12" t="s">
        <x:v>90</x:v>
      </x:c>
      <x:c r="D20" s="12">
        <x:v>11</x:v>
      </x:c>
      <x:c r="E20" s="12">
        <x:v>7</x:v>
      </x:c>
      <x:c r="F20" s="12" t="str">
        <x:f t="shared" si="0"/>
        <x:v>Estoque adequado</x:v>
      </x:c>
    </x:row>
    <x:row r="21">
      <x:c r="A21" s="12" t="s">
        <x:v>60</x:v>
      </x:c>
      <x:c r="B21" s="12" t="s">
        <x:v>61</x:v>
      </x:c>
      <x:c r="C21" s="12" t="s">
        <x:v>62</x:v>
      </x:c>
      <x:c r="D21" s="12">
        <x:v>18</x:v>
      </x:c>
      <x:c r="E21" s="12">
        <x:v>10</x:v>
      </x:c>
      <x:c r="F21" s="12" t="str">
        <x:f t="shared" si="0"/>
        <x:v>Estoque adequado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FFFF00"/>
  </x:sheetPr>
  <x:sheetViews>
    <x:sheetView workbookViewId="0">
      <x:pane ySplit="1" topLeftCell="A2" activePane="bottomLeft" state="frozen"/>
    </x:sheetView>
  </x:sheetViews>
  <x:sheetFormatPr defaultRowHeight="15"/>
  <x:cols>
    <x:col min="1" max="2" width="13" customWidth="1"/>
    <x:col min="3" max="5" width="12" customWidth="1"/>
    <x:col min="6" max="6" width="15" customWidth="1"/>
    <x:col min="7" max="7" width="11" customWidth="1"/>
    <x:col min="8" max="9" width="15" customWidth="1"/>
    <x:col min="10" max="11" width="14" customWidth="1"/>
    <x:col min="12" max="12" width="16" customWidth="1"/>
    <x:col min="13" max="13" width="15" customWidth="1"/>
    <x:col min="14" max="14" width="12" customWidth="1"/>
    <x:col min="15" max="15" width="24.140625" customWidth="1"/>
    <x:col min="16" max="16" width="12" customWidth="1"/>
    <x:col min="17" max="18" width="20" customWidth="1"/>
    <x:col min="19" max="19" width="18" customWidth="1"/>
  </x:cols>
  <x:sheetData>
    <x:row r="1">
      <x:c r="A1" s="8" t="s">
        <x:v>36</x:v>
      </x:c>
      <x:c r="B1" s="8" t="s">
        <x:v>37</x:v>
      </x:c>
      <x:c r="C1" s="8" t="s">
        <x:v>38</x:v>
      </x:c>
      <x:c r="D1" s="8" t="s">
        <x:v>41</x:v>
      </x:c>
      <x:c r="E1" s="8" t="s">
        <x:v>22</x:v>
      </x:c>
      <x:c r="F1" s="8" t="s">
        <x:v>43</x:v>
      </x:c>
      <x:c r="G1" s="8" t="s">
        <x:v>44</x:v>
      </x:c>
      <x:c r="H1" s="8" t="s">
        <x:v>45</x:v>
      </x:c>
      <x:c r="I1" s="8" t="s">
        <x:v>46</x:v>
      </x:c>
      <x:c r="J1" s="8" t="s">
        <x:v>47</x:v>
      </x:c>
      <x:c r="K1" s="8" t="s">
        <x:v>48</x:v>
      </x:c>
      <x:c r="L1" s="8" t="s">
        <x:v>21</x:v>
      </x:c>
      <x:c r="M1" s="8" t="s">
        <x:v>49</x:v>
      </x:c>
      <x:c r="N1" s="8" t="s">
        <x:v>50</x:v>
      </x:c>
      <x:c r="O1" s="8" t="s">
        <x:v>51</x:v>
      </x:c>
      <x:c r="P1" s="8" t="s">
        <x:v>52</x:v>
      </x:c>
      <x:c r="Q1" s="8" t="s">
        <x:v>53</x:v>
      </x:c>
      <x:c r="R1" s="8" t="s">
        <x:v>54</x:v>
      </x:c>
      <x:c r="S1" s="8" t="s">
        <x:v>55</x:v>
      </x:c>
    </x:row>
    <x:row r="2">
      <x:c r="A2" s="12" t="s">
        <x:v>56</x:v>
      </x:c>
      <x:c r="B2" s="34">
        <x:v>46086</x:v>
      </x:c>
      <x:c r="C2" s="12" t="s">
        <x:v>57</x:v>
      </x:c>
      <x:c r="D2" s="12" t="s">
        <x:v>60</x:v>
      </x:c>
      <x:c r="E2" s="12">
        <x:v>1</x:v>
      </x:c>
      <x:c r="F2" s="37">
        <x:v>849.9</x:v>
      </x:c>
      <x:c r="G2" s="38">
        <x:v>0.05</x:v>
      </x:c>
      <x:c r="H2" s="37">
        <x:v>849.9</x:v>
      </x:c>
      <x:c r="I2" s="37">
        <x:v>807.4</x:v>
      </x:c>
      <x:c r="J2" s="34">
        <x:v>46094</x:v>
      </x:c>
      <x:c r="K2" s="34">
        <x:v>46097</x:v>
      </x:c>
      <x:c r="L2" s="12" t="s">
        <x:v>28</x:v>
      </x:c>
      <x:c r="M2" s="37">
        <x:v>554.78</x:v>
      </x:c>
      <x:c r="N2" s="37">
        <x:v>150.56</x:v>
      </x:c>
      <x:c r="O2" s="36" t="n">
        <x:f>IF(OR(B2="",J2=""),"",J2-B2)</x:f>
        <x:v>8</x:v>
      </x:c>
      <x:c r="P2" s="36" t="n">
        <x:f t="shared" ref="P2:P33" ca="1" si="0">IF(L2="Cancelado","",IF(L2="Entregue",IF(K2="","",MAX(0,K2-J2)),MAX(0,TODAY()-J2)))</x:f>
        <x:v>3</x:v>
      </x:c>
      <x:c r="Q2" s="12" t="str">
        <x:f t="shared" ref="Q2:Q33" ca="1" si="1">IF(L2="Cancelado","Cancelado",IF(L2="Entregue",IF(P2&gt;0,"Entregue com atraso","Entregue no prazo"),IF(P2&gt;0,"Atrasado","Dentro do prazo")))</x:f>
        <x:v>Entregue com atraso</x:v>
      </x:c>
      <x:c r="R2" s="37" t="n">
        <x:f t="shared" ref="R2:R33" ca="1" si="2">IF(OR(M2="",N2=""),"",ROUND(M2+N2,2))</x:f>
        <x:v>705.34</x:v>
      </x:c>
      <x:c r="S2" s="37" t="n">
        <x:f t="shared" ref="S2:S33" si="3">IF(OR(I2="",R2=""),"",ROUND(I2-R2,2))</x:f>
        <x:v>102.06</x:v>
      </x:c>
    </x:row>
    <x:row r="3">
      <x:c r="A3" s="12" t="s">
        <x:v>63</x:v>
      </x:c>
      <x:c r="B3" s="34">
        <x:v>46098</x:v>
      </x:c>
      <x:c r="C3" s="12" t="s">
        <x:v>64</x:v>
      </x:c>
      <x:c r="D3" s="12" t="s">
        <x:v>66</x:v>
      </x:c>
      <x:c r="E3" s="12">
        <x:v>3</x:v>
      </x:c>
      <x:c r="F3" s="37">
        <x:v>389.9</x:v>
      </x:c>
      <x:c r="G3" s="38">
        <x:v>0.08</x:v>
      </x:c>
      <x:c r="H3" s="37">
        <x:v>1169.7</x:v>
      </x:c>
      <x:c r="I3" s="37">
        <x:v>1076.1199999999999</x:v>
      </x:c>
      <x:c r="J3" s="34">
        <x:v>46109</x:v>
      </x:c>
      <x:c r="K3" s="34">
        <x:v>46108</x:v>
      </x:c>
      <x:c r="L3" s="12" t="s">
        <x:v>28</x:v>
      </x:c>
      <x:c r="M3" s="37">
        <x:v>704.27</x:v>
      </x:c>
      <x:c r="N3" s="37">
        <x:v>224.42</x:v>
      </x:c>
      <x:c r="O3" s="36" t="n">
        <x:f t="shared" ref="O3:O66" si="4">IF(OR(B3="",J3=""),"",J3-B3)</x:f>
        <x:v>11</x:v>
      </x:c>
      <x:c r="P3" s="36" t="n">
        <x:f t="shared" ca="1" si="0">IF(L3="Cancelado","",IF(L3="Entregue",IF(K3="","",MAX(0,K3-J3)),MAX(0,TODAY()-J3)))</x:f>
        <x:v>0</x:v>
      </x:c>
      <x:c r="Q3" s="12" t="str">
        <x:f t="shared" ca="1" si="1">IF(L3="Cancelado","Cancelado",IF(L3="Entregue",IF(P3&gt;0,"Entregue com atraso","Entregue no prazo"),IF(P3&gt;0,"Atrasado","Dentro do prazo")))</x:f>
        <x:v>Entregue no prazo</x:v>
      </x:c>
      <x:c r="R3" s="37" t="n">
        <x:f t="shared" ca="1" si="2">IF(OR(M3="",N3=""),"",ROUND(M3+N3,2))</x:f>
        <x:v>928.69</x:v>
      </x:c>
      <x:c r="S3" s="37" t="n">
        <x:f t="shared" si="3">IF(OR(I3="",R3=""),"",ROUND(I3-R3,2))</x:f>
        <x:v>147.43</x:v>
      </x:c>
    </x:row>
    <x:row r="4">
      <x:c r="A4" s="12" t="s">
        <x:v>68</x:v>
      </x:c>
      <x:c r="B4" s="34">
        <x:v>46053</x:v>
      </x:c>
      <x:c r="C4" s="12" t="s">
        <x:v>69</x:v>
      </x:c>
      <x:c r="D4" s="12" t="s">
        <x:v>72</x:v>
      </x:c>
      <x:c r="E4" s="12">
        <x:v>2</x:v>
      </x:c>
      <x:c r="F4" s="37">
        <x:v>1349.9</x:v>
      </x:c>
      <x:c r="G4" s="38">
        <x:v>0</x:v>
      </x:c>
      <x:c r="H4" s="37">
        <x:v>2699.8</x:v>
      </x:c>
      <x:c r="I4" s="37">
        <x:v>2699.8</x:v>
      </x:c>
      <x:c r="J4" s="34">
        <x:v>46063</x:v>
      </x:c>
      <x:c r="K4" s="34">
        <x:v>46060</x:v>
      </x:c>
      <x:c r="L4" s="12" t="s">
        <x:v>28</x:v>
      </x:c>
      <x:c r="M4" s="37">
        <x:v>1989.1</x:v>
      </x:c>
      <x:c r="N4" s="37">
        <x:v>171.01</x:v>
      </x:c>
      <x:c r="O4" s="36" t="n">
        <x:f t="shared" si="4">IF(OR(B4="",J4=""),"",J4-B4)</x:f>
        <x:v>10</x:v>
      </x:c>
      <x:c r="P4" s="36" t="n">
        <x:f t="shared" ca="1" si="0">IF(L4="Cancelado","",IF(L4="Entregue",IF(K4="","",MAX(0,K4-J4)),MAX(0,TODAY()-J4)))</x:f>
        <x:v>0</x:v>
      </x:c>
      <x:c r="Q4" s="12" t="str">
        <x:f t="shared" ca="1" si="1">IF(L4="Cancelado","Cancelado",IF(L4="Entregue",IF(P4&gt;0,"Entregue com atraso","Entregue no prazo"),IF(P4&gt;0,"Atrasado","Dentro do prazo")))</x:f>
        <x:v>Entregue no prazo</x:v>
      </x:c>
      <x:c r="R4" s="37" t="n">
        <x:f t="shared" ca="1" si="2">IF(OR(M4="",N4=""),"",ROUND(M4+N4,2))</x:f>
        <x:v>2160.11</x:v>
      </x:c>
      <x:c r="S4" s="37" t="n">
        <x:f t="shared" si="3">IF(OR(I4="",R4=""),"",ROUND(I4-R4,2))</x:f>
        <x:v>539.69</x:v>
      </x:c>
    </x:row>
    <x:row r="5">
      <x:c r="A5" s="12" t="s">
        <x:v>75</x:v>
      </x:c>
      <x:c r="B5" s="34">
        <x:v>46123</x:v>
      </x:c>
      <x:c r="C5" s="12" t="s">
        <x:v>69</x:v>
      </x:c>
      <x:c r="D5" s="12" t="s">
        <x:v>76</x:v>
      </x:c>
      <x:c r="E5" s="12">
        <x:v>5</x:v>
      </x:c>
      <x:c r="F5" s="37">
        <x:v>689.9</x:v>
      </x:c>
      <x:c r="G5" s="38">
        <x:v>0.08</x:v>
      </x:c>
      <x:c r="H5" s="37">
        <x:v>3449.5</x:v>
      </x:c>
      <x:c r="I5" s="37">
        <x:v>3173.54</x:v>
      </x:c>
      <x:c r="J5" s="34">
        <x:v>46137</x:v>
      </x:c>
      <x:c r="K5" s="34"/>
      <x:c r="L5" s="12" t="s">
        <x:v>27</x:v>
      </x:c>
      <x:c r="M5" s="37">
        <x:v>2151.2199999999998</x:v>
      </x:c>
      <x:c r="N5" s="37">
        <x:v>90.19</x:v>
      </x:c>
      <x:c r="O5" s="36" t="n">
        <x:f t="shared" si="4">IF(OR(B5="",J5=""),"",J5-B5)</x:f>
        <x:v>14</x:v>
      </x:c>
      <x:c r="P5" s="36" t="n">
        <x:f t="shared" ca="1" si="0">IF(L5="Cancelado","",IF(L5="Entregue",IF(K5="","",MAX(0,K5-J5)),MAX(0,TODAY()-J5)))</x:f>
        <x:v>143</x:v>
      </x:c>
      <x:c r="Q5" s="12" t="str">
        <x:f t="shared" ca="1" si="1">IF(L5="Cancelado","Cancelado",IF(L5="Entregue",IF(P5&gt;0,"Entregue com atraso","Entregue no prazo"),IF(P5&gt;0,"Atrasado","Dentro do prazo")))</x:f>
        <x:v>Atrasado</x:v>
      </x:c>
      <x:c r="R5" s="37" t="n">
        <x:f t="shared" ca="1" si="2">IF(OR(M5="",N5=""),"",ROUND(M5+N5,2))</x:f>
        <x:v>2241.41</x:v>
      </x:c>
      <x:c r="S5" s="37" t="n">
        <x:f t="shared" si="3">IF(OR(I5="",R5=""),"",ROUND(I5-R5,2))</x:f>
        <x:v>932.13</x:v>
      </x:c>
    </x:row>
    <x:row r="6">
      <x:c r="A6" s="12" t="s">
        <x:v>78</x:v>
      </x:c>
      <x:c r="B6" s="34">
        <x:v>46044</x:v>
      </x:c>
      <x:c r="C6" s="12" t="s">
        <x:v>79</x:v>
      </x:c>
      <x:c r="D6" s="12" t="s">
        <x:v>82</x:v>
      </x:c>
      <x:c r="E6" s="12">
        <x:v>5</x:v>
      </x:c>
      <x:c r="F6" s="37">
        <x:v>729.9</x:v>
      </x:c>
      <x:c r="G6" s="38">
        <x:v>0</x:v>
      </x:c>
      <x:c r="H6" s="37">
        <x:v>3649.5</x:v>
      </x:c>
      <x:c r="I6" s="37">
        <x:v>3649.5</x:v>
      </x:c>
      <x:c r="J6" s="34">
        <x:v>46052</x:v>
      </x:c>
      <x:c r="K6" s="34"/>
      <x:c r="L6" s="12" t="s">
        <x:v>27</x:v>
      </x:c>
      <x:c r="M6" s="37">
        <x:v>2484.65</x:v>
      </x:c>
      <x:c r="N6" s="37">
        <x:v>151.55000000000001</x:v>
      </x:c>
      <x:c r="O6" s="36" t="n">
        <x:f t="shared" si="4">IF(OR(B6="",J6=""),"",J6-B6)</x:f>
        <x:v>8</x:v>
      </x:c>
      <x:c r="P6" s="36" t="n">
        <x:f t="shared" ca="1" si="0">IF(L6="Cancelado","",IF(L6="Entregue",IF(K6="","",MAX(0,K6-J6)),MAX(0,TODAY()-J6)))</x:f>
        <x:v>228</x:v>
      </x:c>
      <x:c r="Q6" s="12" t="str">
        <x:f t="shared" ca="1" si="1">IF(L6="Cancelado","Cancelado",IF(L6="Entregue",IF(P6&gt;0,"Entregue com atraso","Entregue no prazo"),IF(P6&gt;0,"Atrasado","Dentro do prazo")))</x:f>
        <x:v>Atrasado</x:v>
      </x:c>
      <x:c r="R6" s="37" t="n">
        <x:f t="shared" ca="1" si="2">IF(OR(M6="",N6=""),"",ROUND(M6+N6,2))</x:f>
        <x:v>2636.2</x:v>
      </x:c>
      <x:c r="S6" s="37" t="n">
        <x:f t="shared" si="3">IF(OR(I6="",R6=""),"",ROUND(I6-R6,2))</x:f>
        <x:v>1013.3</x:v>
      </x:c>
    </x:row>
    <x:row r="7">
      <x:c r="A7" s="12" t="s">
        <x:v>85</x:v>
      </x:c>
      <x:c r="B7" s="34">
        <x:v>46240</x:v>
      </x:c>
      <x:c r="C7" s="12" t="s">
        <x:v>86</x:v>
      </x:c>
      <x:c r="D7" s="12" t="s">
        <x:v>88</x:v>
      </x:c>
      <x:c r="E7" s="12">
        <x:v>6</x:v>
      </x:c>
      <x:c r="F7" s="37">
        <x:v>649.9</x:v>
      </x:c>
      <x:c r="G7" s="38">
        <x:v>0</x:v>
      </x:c>
      <x:c r="H7" s="37">
        <x:v>3899.4</x:v>
      </x:c>
      <x:c r="I7" s="37">
        <x:v>3899.4</x:v>
      </x:c>
      <x:c r="J7" s="34">
        <x:v>46248</x:v>
      </x:c>
      <x:c r="K7" s="34">
        <x:v>46255</x:v>
      </x:c>
      <x:c r="L7" s="12" t="s">
        <x:v>28</x:v>
      </x:c>
      <x:c r="M7" s="37">
        <x:v>2821.94</x:v>
      </x:c>
      <x:c r="N7" s="37">
        <x:v>188.15</x:v>
      </x:c>
      <x:c r="O7" s="36" t="n">
        <x:f t="shared" si="4">IF(OR(B7="",J7=""),"",J7-B7)</x:f>
        <x:v>8</x:v>
      </x:c>
      <x:c r="P7" s="36" t="n">
        <x:f t="shared" ca="1" si="0">IF(L7="Cancelado","",IF(L7="Entregue",IF(K7="","",MAX(0,K7-J7)),MAX(0,TODAY()-J7)))</x:f>
        <x:v>7</x:v>
      </x:c>
      <x:c r="Q7" s="12" t="str">
        <x:f t="shared" ca="1" si="1">IF(L7="Cancelado","Cancelado",IF(L7="Entregue",IF(P7&gt;0,"Entregue com atraso","Entregue no prazo"),IF(P7&gt;0,"Atrasado","Dentro do prazo")))</x:f>
        <x:v>Entregue com atraso</x:v>
      </x:c>
      <x:c r="R7" s="37" t="n">
        <x:f t="shared" ca="1" si="2">IF(OR(M7="",N7=""),"",ROUND(M7+N7,2))</x:f>
        <x:v>3010.09</x:v>
      </x:c>
      <x:c r="S7" s="37" t="n">
        <x:f t="shared" si="3">IF(OR(I7="",R7=""),"",ROUND(I7-R7,2))</x:f>
        <x:v>889.31</x:v>
      </x:c>
    </x:row>
    <x:row r="8">
      <x:c r="A8" s="12" t="s">
        <x:v>91</x:v>
      </x:c>
      <x:c r="B8" s="34">
        <x:v>46070</x:v>
      </x:c>
      <x:c r="C8" s="12" t="s">
        <x:v>92</x:v>
      </x:c>
      <x:c r="D8" s="12" t="s">
        <x:v>82</x:v>
      </x:c>
      <x:c r="E8" s="12">
        <x:v>3</x:v>
      </x:c>
      <x:c r="F8" s="37">
        <x:v>729.9</x:v>
      </x:c>
      <x:c r="G8" s="38">
        <x:v>0.03</x:v>
      </x:c>
      <x:c r="H8" s="37">
        <x:v>2189.6999999999998</x:v>
      </x:c>
      <x:c r="I8" s="37">
        <x:v>2124.0100000000002</x:v>
      </x:c>
      <x:c r="J8" s="34">
        <x:v>46081</x:v>
      </x:c>
      <x:c r="K8" s="34">
        <x:v>46088</x:v>
      </x:c>
      <x:c r="L8" s="12" t="s">
        <x:v>28</x:v>
      </x:c>
      <x:c r="M8" s="37">
        <x:v>1550.75</x:v>
      </x:c>
      <x:c r="N8" s="37">
        <x:v>96.61</x:v>
      </x:c>
      <x:c r="O8" s="36" t="n">
        <x:f t="shared" si="4">IF(OR(B8="",J8=""),"",J8-B8)</x:f>
        <x:v>11</x:v>
      </x:c>
      <x:c r="P8" s="36" t="n">
        <x:f t="shared" ca="1" si="0">IF(L8="Cancelado","",IF(L8="Entregue",IF(K8="","",MAX(0,K8-J8)),MAX(0,TODAY()-J8)))</x:f>
        <x:v>7</x:v>
      </x:c>
      <x:c r="Q8" s="12" t="str">
        <x:f t="shared" ca="1" si="1">IF(L8="Cancelado","Cancelado",IF(L8="Entregue",IF(P8&gt;0,"Entregue com atraso","Entregue no prazo"),IF(P8&gt;0,"Atrasado","Dentro do prazo")))</x:f>
        <x:v>Entregue com atraso</x:v>
      </x:c>
      <x:c r="R8" s="37" t="n">
        <x:f t="shared" ca="1" si="2">IF(OR(M8="",N8=""),"",ROUND(M8+N8,2))</x:f>
        <x:v>1647.36</x:v>
      </x:c>
      <x:c r="S8" s="37" t="n">
        <x:f t="shared" si="3">IF(OR(I8="",R8=""),"",ROUND(I8-R8,2))</x:f>
        <x:v>476.65</x:v>
      </x:c>
    </x:row>
    <x:row r="9">
      <x:c r="A9" s="12" t="s">
        <x:v>95</x:v>
      </x:c>
      <x:c r="B9" s="34">
        <x:v>46110</x:v>
      </x:c>
      <x:c r="C9" s="12" t="s">
        <x:v>96</x:v>
      </x:c>
      <x:c r="D9" s="12" t="s">
        <x:v>98</x:v>
      </x:c>
      <x:c r="E9" s="12">
        <x:v>4</x:v>
      </x:c>
      <x:c r="F9" s="37">
        <x:v>749.9</x:v>
      </x:c>
      <x:c r="G9" s="38">
        <x:v>0</x:v>
      </x:c>
      <x:c r="H9" s="37">
        <x:v>2999.6</x:v>
      </x:c>
      <x:c r="I9" s="37">
        <x:v>2999.6</x:v>
      </x:c>
      <x:c r="J9" s="34">
        <x:v>46120</x:v>
      </x:c>
      <x:c r="K9" s="34">
        <x:v>46118</x:v>
      </x:c>
      <x:c r="L9" s="12" t="s">
        <x:v>28</x:v>
      </x:c>
      <x:c r="M9" s="37">
        <x:v>1961.01</x:v>
      </x:c>
      <x:c r="N9" s="37">
        <x:v>266.58</x:v>
      </x:c>
      <x:c r="O9" s="36" t="n">
        <x:f t="shared" si="4">IF(OR(B9="",J9=""),"",J9-B9)</x:f>
        <x:v>10</x:v>
      </x:c>
      <x:c r="P9" s="36" t="n">
        <x:f t="shared" ca="1" si="0">IF(L9="Cancelado","",IF(L9="Entregue",IF(K9="","",MAX(0,K9-J9)),MAX(0,TODAY()-J9)))</x:f>
        <x:v>0</x:v>
      </x:c>
      <x:c r="Q9" s="12" t="str">
        <x:f t="shared" ca="1" si="1">IF(L9="Cancelado","Cancelado",IF(L9="Entregue",IF(P9&gt;0,"Entregue com atraso","Entregue no prazo"),IF(P9&gt;0,"Atrasado","Dentro do prazo")))</x:f>
        <x:v>Entregue no prazo</x:v>
      </x:c>
      <x:c r="R9" s="37" t="n">
        <x:f t="shared" ca="1" si="2">IF(OR(M9="",N9=""),"",ROUND(M9+N9,2))</x:f>
        <x:v>2227.59</x:v>
      </x:c>
      <x:c r="S9" s="37" t="n">
        <x:f t="shared" si="3">IF(OR(I9="",R9=""),"",ROUND(I9-R9,2))</x:f>
        <x:v>772.01</x:v>
      </x:c>
    </x:row>
    <x:row r="10">
      <x:c r="A10" s="12" t="s">
        <x:v>100</x:v>
      </x:c>
      <x:c r="B10" s="34">
        <x:v>46251</x:v>
      </x:c>
      <x:c r="C10" s="12" t="s">
        <x:v>101</x:v>
      </x:c>
      <x:c r="D10" s="12" t="s">
        <x:v>104</x:v>
      </x:c>
      <x:c r="E10" s="12">
        <x:v>4</x:v>
      </x:c>
      <x:c r="F10" s="37">
        <x:v>699.9</x:v>
      </x:c>
      <x:c r="G10" s="38">
        <x:v>0.08</x:v>
      </x:c>
      <x:c r="H10" s="37">
        <x:v>2799.6</x:v>
      </x:c>
      <x:c r="I10" s="37">
        <x:v>2575.63</x:v>
      </x:c>
      <x:c r="J10" s="34">
        <x:v>46263</x:v>
      </x:c>
      <x:c r="K10" s="34">
        <x:v>46270</x:v>
      </x:c>
      <x:c r="L10" s="12" t="s">
        <x:v>28</x:v>
      </x:c>
      <x:c r="M10" s="37">
        <x:v>1785.98</x:v>
      </x:c>
      <x:c r="N10" s="37">
        <x:v>107.25</x:v>
      </x:c>
      <x:c r="O10" s="36" t="n">
        <x:f t="shared" si="4">IF(OR(B10="",J10=""),"",J10-B10)</x:f>
        <x:v>12</x:v>
      </x:c>
      <x:c r="P10" s="36" t="n">
        <x:f t="shared" ca="1" si="0">IF(L10="Cancelado","",IF(L10="Entregue",IF(K10="","",MAX(0,K10-J10)),MAX(0,TODAY()-J10)))</x:f>
        <x:v>7</x:v>
      </x:c>
      <x:c r="Q10" s="12" t="str">
        <x:f t="shared" ca="1" si="1">IF(L10="Cancelado","Cancelado",IF(L10="Entregue",IF(P10&gt;0,"Entregue com atraso","Entregue no prazo"),IF(P10&gt;0,"Atrasado","Dentro do prazo")))</x:f>
        <x:v>Entregue com atraso</x:v>
      </x:c>
      <x:c r="R10" s="37" t="n">
        <x:f t="shared" ca="1" si="2">IF(OR(M10="",N10=""),"",ROUND(M10+N10,2))</x:f>
        <x:v>1893.23</x:v>
      </x:c>
      <x:c r="S10" s="37" t="n">
        <x:f t="shared" si="3">IF(OR(I10="",R10=""),"",ROUND(I10-R10,2))</x:f>
        <x:v>682.4</x:v>
      </x:c>
    </x:row>
    <x:row r="11">
      <x:c r="A11" s="12" t="s">
        <x:v>106</x:v>
      </x:c>
      <x:c r="B11" s="34">
        <x:v>46090</x:v>
      </x:c>
      <x:c r="C11" s="12" t="s">
        <x:v>107</x:v>
      </x:c>
      <x:c r="D11" s="12" t="s">
        <x:v>76</x:v>
      </x:c>
      <x:c r="E11" s="12">
        <x:v>5</x:v>
      </x:c>
      <x:c r="F11" s="37">
        <x:v>689.9</x:v>
      </x:c>
      <x:c r="G11" s="38">
        <x:v>0.08</x:v>
      </x:c>
      <x:c r="H11" s="37">
        <x:v>3449.5</x:v>
      </x:c>
      <x:c r="I11" s="37">
        <x:v>3173.54</x:v>
      </x:c>
      <x:c r="J11" s="34">
        <x:v>46104</x:v>
      </x:c>
      <x:c r="K11" s="34">
        <x:v>46109</x:v>
      </x:c>
      <x:c r="L11" s="12" t="s">
        <x:v>28</x:v>
      </x:c>
      <x:c r="M11" s="37">
        <x:v>2170.4</x:v>
      </x:c>
      <x:c r="N11" s="37">
        <x:v>96.54</x:v>
      </x:c>
      <x:c r="O11" s="36" t="n">
        <x:f t="shared" si="4">IF(OR(B11="",J11=""),"",J11-B11)</x:f>
        <x:v>14</x:v>
      </x:c>
      <x:c r="P11" s="36" t="n">
        <x:f t="shared" ca="1" si="0">IF(L11="Cancelado","",IF(L11="Entregue",IF(K11="","",MAX(0,K11-J11)),MAX(0,TODAY()-J11)))</x:f>
        <x:v>5</x:v>
      </x:c>
      <x:c r="Q11" s="12" t="str">
        <x:f t="shared" ca="1" si="1">IF(L11="Cancelado","Cancelado",IF(L11="Entregue",IF(P11&gt;0,"Entregue com atraso","Entregue no prazo"),IF(P11&gt;0,"Atrasado","Dentro do prazo")))</x:f>
        <x:v>Entregue com atraso</x:v>
      </x:c>
      <x:c r="R11" s="37" t="n">
        <x:f t="shared" ca="1" si="2">IF(OR(M11="",N11=""),"",ROUND(M11+N11,2))</x:f>
        <x:v>2266.94</x:v>
      </x:c>
      <x:c r="S11" s="37" t="n">
        <x:f t="shared" si="3">IF(OR(I11="",R11=""),"",ROUND(I11-R11,2))</x:f>
        <x:v>906.6</x:v>
      </x:c>
    </x:row>
    <x:row r="12">
      <x:c r="A12" s="12" t="s">
        <x:v>110</x:v>
      </x:c>
      <x:c r="B12" s="34">
        <x:v>46062</x:v>
      </x:c>
      <x:c r="C12" s="12" t="s">
        <x:v>57</x:v>
      </x:c>
      <x:c r="D12" s="12" t="s">
        <x:v>111</x:v>
      </x:c>
      <x:c r="E12" s="12">
        <x:v>2</x:v>
      </x:c>
      <x:c r="F12" s="37">
        <x:v>599.9</x:v>
      </x:c>
      <x:c r="G12" s="38">
        <x:v>0</x:v>
      </x:c>
      <x:c r="H12" s="37">
        <x:v>1199.8</x:v>
      </x:c>
      <x:c r="I12" s="37">
        <x:v>1199.8</x:v>
      </x:c>
      <x:c r="J12" s="34">
        <x:v>46068</x:v>
      </x:c>
      <x:c r="K12" s="34">
        <x:v>46067</x:v>
      </x:c>
      <x:c r="L12" s="12" t="s">
        <x:v>28</x:v>
      </x:c>
      <x:c r="M12" s="37">
        <x:v>895.93</x:v>
      </x:c>
      <x:c r="N12" s="37">
        <x:v>144.21</x:v>
      </x:c>
      <x:c r="O12" s="36" t="n">
        <x:f t="shared" si="4">IF(OR(B12="",J12=""),"",J12-B12)</x:f>
        <x:v>6</x:v>
      </x:c>
      <x:c r="P12" s="36" t="n">
        <x:f t="shared" ca="1" si="0">IF(L12="Cancelado","",IF(L12="Entregue",IF(K12="","",MAX(0,K12-J12)),MAX(0,TODAY()-J12)))</x:f>
        <x:v>0</x:v>
      </x:c>
      <x:c r="Q12" s="12" t="str">
        <x:f t="shared" ca="1" si="1">IF(L12="Cancelado","Cancelado",IF(L12="Entregue",IF(P12&gt;0,"Entregue com atraso","Entregue no prazo"),IF(P12&gt;0,"Atrasado","Dentro do prazo")))</x:f>
        <x:v>Entregue no prazo</x:v>
      </x:c>
      <x:c r="R12" s="37" t="n">
        <x:f t="shared" ca="1" si="2">IF(OR(M12="",N12=""),"",ROUND(M12+N12,2))</x:f>
        <x:v>1040.14</x:v>
      </x:c>
      <x:c r="S12" s="37" t="n">
        <x:f t="shared" si="3">IF(OR(I12="",R12=""),"",ROUND(I12-R12,2))</x:f>
        <x:v>159.66</x:v>
      </x:c>
    </x:row>
    <x:row r="13">
      <x:c r="A13" s="12" t="s">
        <x:v>114</x:v>
      </x:c>
      <x:c r="B13" s="34">
        <x:v>46043</x:v>
      </x:c>
      <x:c r="C13" s="12" t="s">
        <x:v>115</x:v>
      </x:c>
      <x:c r="D13" s="12" t="s">
        <x:v>72</x:v>
      </x:c>
      <x:c r="E13" s="12">
        <x:v>8</x:v>
      </x:c>
      <x:c r="F13" s="37">
        <x:v>1349.9</x:v>
      </x:c>
      <x:c r="G13" s="38">
        <x:v>0.05</x:v>
      </x:c>
      <x:c r="H13" s="37">
        <x:v>10799.2</x:v>
      </x:c>
      <x:c r="I13" s="37">
        <x:v>10259.24</x:v>
      </x:c>
      <x:c r="J13" s="34">
        <x:v>46052</x:v>
      </x:c>
      <x:c r="K13" s="34"/>
      <x:c r="L13" s="12" t="s">
        <x:v>29</x:v>
      </x:c>
      <x:c r="M13" s="37">
        <x:v>7773.68</x:v>
      </x:c>
      <x:c r="N13" s="37">
        <x:v>47.7</x:v>
      </x:c>
      <x:c r="O13" s="36" t="n">
        <x:f t="shared" si="4">IF(OR(B13="",J13=""),"",J13-B13)</x:f>
        <x:v>9</x:v>
      </x:c>
      <x:c r="P13" s="36" t="str">
        <x:f t="shared" ca="1" si="0">IF(L13="Cancelado","",IF(L13="Entregue",IF(K13="","",MAX(0,K13-J13)),MAX(0,TODAY()-J13)))</x:f>
      </x:c>
      <x:c r="Q13" s="12" t="str">
        <x:f t="shared" ca="1" si="1">IF(L13="Cancelado","Cancelado",IF(L13="Entregue",IF(P13&gt;0,"Entregue com atraso","Entregue no prazo"),IF(P13&gt;0,"Atrasado","Dentro do prazo")))</x:f>
        <x:v>Cancelado</x:v>
      </x:c>
      <x:c r="R13" s="37" t="n">
        <x:f t="shared" ca="1" si="2">IF(OR(M13="",N13=""),"",ROUND(M13+N13,2))</x:f>
        <x:v>7821.38</x:v>
      </x:c>
      <x:c r="S13" s="37" t="n">
        <x:f t="shared" si="3">IF(OR(I13="",R13=""),"",ROUND(I13-R13,2))</x:f>
        <x:v>2437.86</x:v>
      </x:c>
    </x:row>
    <x:row r="14">
      <x:c r="A14" s="12" t="s">
        <x:v>118</x:v>
      </x:c>
      <x:c r="B14" s="34">
        <x:v>46211</x:v>
      </x:c>
      <x:c r="C14" s="12" t="s">
        <x:v>119</x:v>
      </x:c>
      <x:c r="D14" s="12" t="s">
        <x:v>76</x:v>
      </x:c>
      <x:c r="E14" s="12">
        <x:v>5</x:v>
      </x:c>
      <x:c r="F14" s="37">
        <x:v>689.9</x:v>
      </x:c>
      <x:c r="G14" s="38">
        <x:v>0.08</x:v>
      </x:c>
      <x:c r="H14" s="37">
        <x:v>3449.5</x:v>
      </x:c>
      <x:c r="I14" s="37">
        <x:v>3173.54</x:v>
      </x:c>
      <x:c r="J14" s="34">
        <x:v>46221</x:v>
      </x:c>
      <x:c r="K14" s="34">
        <x:v>46222</x:v>
      </x:c>
      <x:c r="L14" s="12" t="s">
        <x:v>28</x:v>
      </x:c>
      <x:c r="M14" s="37">
        <x:v>2047.9</x:v>
      </x:c>
      <x:c r="N14" s="37">
        <x:v>45.76</x:v>
      </x:c>
      <x:c r="O14" s="36" t="n">
        <x:f t="shared" si="4">IF(OR(B14="",J14=""),"",J14-B14)</x:f>
        <x:v>10</x:v>
      </x:c>
      <x:c r="P14" s="36" t="n">
        <x:f t="shared" ca="1" si="0">IF(L14="Cancelado","",IF(L14="Entregue",IF(K14="","",MAX(0,K14-J14)),MAX(0,TODAY()-J14)))</x:f>
        <x:v>1</x:v>
      </x:c>
      <x:c r="Q14" s="12" t="str">
        <x:f t="shared" ca="1" si="1">IF(L14="Cancelado","Cancelado",IF(L14="Entregue",IF(P14&gt;0,"Entregue com atraso","Entregue no prazo"),IF(P14&gt;0,"Atrasado","Dentro do prazo")))</x:f>
        <x:v>Entregue com atraso</x:v>
      </x:c>
      <x:c r="R14" s="37" t="n">
        <x:f t="shared" ca="1" si="2">IF(OR(M14="",N14=""),"",ROUND(M14+N14,2))</x:f>
        <x:v>2093.66</x:v>
      </x:c>
      <x:c r="S14" s="37" t="n">
        <x:f t="shared" si="3">IF(OR(I14="",R14=""),"",ROUND(I14-R14,2))</x:f>
        <x:v>1079.88</x:v>
      </x:c>
    </x:row>
    <x:row r="15">
      <x:c r="A15" s="12" t="s">
        <x:v>121</x:v>
      </x:c>
      <x:c r="B15" s="34">
        <x:v>46211</x:v>
      </x:c>
      <x:c r="C15" s="12" t="s">
        <x:v>122</x:v>
      </x:c>
      <x:c r="D15" s="12" t="s">
        <x:v>124</x:v>
      </x:c>
      <x:c r="E15" s="12">
        <x:v>3</x:v>
      </x:c>
      <x:c r="F15" s="37">
        <x:v>579.9</x:v>
      </x:c>
      <x:c r="G15" s="38">
        <x:v>0.05</x:v>
      </x:c>
      <x:c r="H15" s="37">
        <x:v>1739.7</x:v>
      </x:c>
      <x:c r="I15" s="37">
        <x:v>1652.71</x:v>
      </x:c>
      <x:c r="J15" s="34">
        <x:v>46217</x:v>
      </x:c>
      <x:c r="K15" s="34"/>
      <x:c r="L15" s="12" t="s">
        <x:v>27</x:v>
      </x:c>
      <x:c r="M15" s="37">
        <x:v>1103.5999999999999</x:v>
      </x:c>
      <x:c r="N15" s="37">
        <x:v>195.15</x:v>
      </x:c>
      <x:c r="O15" s="36" t="n">
        <x:f t="shared" si="4">IF(OR(B15="",J15=""),"",J15-B15)</x:f>
        <x:v>6</x:v>
      </x:c>
      <x:c r="P15" s="36" t="n">
        <x:f t="shared" ca="1" si="0">IF(L15="Cancelado","",IF(L15="Entregue",IF(K15="","",MAX(0,K15-J15)),MAX(0,TODAY()-J15)))</x:f>
        <x:v>63</x:v>
      </x:c>
      <x:c r="Q15" s="12" t="str">
        <x:f t="shared" ca="1" si="1">IF(L15="Cancelado","Cancelado",IF(L15="Entregue",IF(P15&gt;0,"Entregue com atraso","Entregue no prazo"),IF(P15&gt;0,"Atrasado","Dentro do prazo")))</x:f>
        <x:v>Atrasado</x:v>
      </x:c>
      <x:c r="R15" s="37" t="n">
        <x:f t="shared" ca="1" si="2">IF(OR(M15="",N15=""),"",ROUND(M15+N15,2))</x:f>
        <x:v>1298.75</x:v>
      </x:c>
      <x:c r="S15" s="37" t="n">
        <x:f t="shared" si="3">IF(OR(I15="",R15=""),"",ROUND(I15-R15,2))</x:f>
        <x:v>353.96</x:v>
      </x:c>
    </x:row>
    <x:row r="16">
      <x:c r="A16" s="12" t="s">
        <x:v>127</x:v>
      </x:c>
      <x:c r="B16" s="34">
        <x:v>46182</x:v>
      </x:c>
      <x:c r="C16" s="12" t="s">
        <x:v>128</x:v>
      </x:c>
      <x:c r="D16" s="12" t="s">
        <x:v>131</x:v>
      </x:c>
      <x:c r="E16" s="12">
        <x:v>6</x:v>
      </x:c>
      <x:c r="F16" s="37">
        <x:v>899.9</x:v>
      </x:c>
      <x:c r="G16" s="38">
        <x:v>0</x:v>
      </x:c>
      <x:c r="H16" s="37">
        <x:v>5399.4</x:v>
      </x:c>
      <x:c r="I16" s="37">
        <x:v>5399.4</x:v>
      </x:c>
      <x:c r="J16" s="34">
        <x:v>46195</x:v>
      </x:c>
      <x:c r="K16" s="34"/>
      <x:c r="L16" s="12" t="s">
        <x:v>29</x:v>
      </x:c>
      <x:c r="M16" s="37">
        <x:v>4144.5200000000004</x:v>
      </x:c>
      <x:c r="N16" s="37">
        <x:v>260.85000000000002</x:v>
      </x:c>
      <x:c r="O16" s="36" t="n">
        <x:f t="shared" si="4">IF(OR(B16="",J16=""),"",J16-B16)</x:f>
        <x:v>13</x:v>
      </x:c>
      <x:c r="P16" s="36" t="str">
        <x:f t="shared" ca="1" si="0">IF(L16="Cancelado","",IF(L16="Entregue",IF(K16="","",MAX(0,K16-J16)),MAX(0,TODAY()-J16)))</x:f>
      </x:c>
      <x:c r="Q16" s="12" t="str">
        <x:f t="shared" ca="1" si="1">IF(L16="Cancelado","Cancelado",IF(L16="Entregue",IF(P16&gt;0,"Entregue com atraso","Entregue no prazo"),IF(P16&gt;0,"Atrasado","Dentro do prazo")))</x:f>
        <x:v>Cancelado</x:v>
      </x:c>
      <x:c r="R16" s="37" t="n">
        <x:f t="shared" ca="1" si="2">IF(OR(M16="",N16=""),"",ROUND(M16+N16,2))</x:f>
        <x:v>4405.37</x:v>
      </x:c>
      <x:c r="S16" s="37" t="n">
        <x:f t="shared" si="3">IF(OR(I16="",R16=""),"",ROUND(I16-R16,2))</x:f>
        <x:v>994.03</x:v>
      </x:c>
    </x:row>
    <x:row r="17">
      <x:c r="A17" s="12" t="s">
        <x:v>133</x:v>
      </x:c>
      <x:c r="B17" s="34">
        <x:v>46180</x:v>
      </x:c>
      <x:c r="C17" s="12" t="s">
        <x:v>134</x:v>
      </x:c>
      <x:c r="D17" s="12" t="s">
        <x:v>111</x:v>
      </x:c>
      <x:c r="E17" s="12">
        <x:v>1</x:v>
      </x:c>
      <x:c r="F17" s="37">
        <x:v>599.9</x:v>
      </x:c>
      <x:c r="G17" s="38">
        <x:v>0</x:v>
      </x:c>
      <x:c r="H17" s="37">
        <x:v>599.9</x:v>
      </x:c>
      <x:c r="I17" s="37">
        <x:v>599.9</x:v>
      </x:c>
      <x:c r="J17" s="34">
        <x:v>46190</x:v>
      </x:c>
      <x:c r="K17" s="34"/>
      <x:c r="L17" s="12" t="s">
        <x:v>27</x:v>
      </x:c>
      <x:c r="M17" s="37">
        <x:v>451.76</x:v>
      </x:c>
      <x:c r="N17" s="37">
        <x:v>117.27</x:v>
      </x:c>
      <x:c r="O17" s="36" t="n">
        <x:f t="shared" si="4">IF(OR(B17="",J17=""),"",J17-B17)</x:f>
        <x:v>10</x:v>
      </x:c>
      <x:c r="P17" s="36" t="n">
        <x:f t="shared" ca="1" si="0">IF(L17="Cancelado","",IF(L17="Entregue",IF(K17="","",MAX(0,K17-J17)),MAX(0,TODAY()-J17)))</x:f>
        <x:v>90</x:v>
      </x:c>
      <x:c r="Q17" s="12" t="str">
        <x:f t="shared" ca="1" si="1">IF(L17="Cancelado","Cancelado",IF(L17="Entregue",IF(P17&gt;0,"Entregue com atraso","Entregue no prazo"),IF(P17&gt;0,"Atrasado","Dentro do prazo")))</x:f>
        <x:v>Atrasado</x:v>
      </x:c>
      <x:c r="R17" s="37" t="n">
        <x:f t="shared" ca="1" si="2">IF(OR(M17="",N17=""),"",ROUND(M17+N17,2))</x:f>
        <x:v>569.03</x:v>
      </x:c>
      <x:c r="S17" s="37" t="n">
        <x:f t="shared" si="3">IF(OR(I17="",R17=""),"",ROUND(I17-R17,2))</x:f>
        <x:v>30.87</x:v>
      </x:c>
    </x:row>
    <x:row r="18">
      <x:c r="A18" s="12" t="s">
        <x:v>136</x:v>
      </x:c>
      <x:c r="B18" s="34">
        <x:v>46041</x:v>
      </x:c>
      <x:c r="C18" s="12" t="s">
        <x:v>137</x:v>
      </x:c>
      <x:c r="D18" s="12" t="s">
        <x:v>139</x:v>
      </x:c>
      <x:c r="E18" s="12">
        <x:v>2</x:v>
      </x:c>
      <x:c r="F18" s="37">
        <x:v>779.9</x:v>
      </x:c>
      <x:c r="G18" s="38">
        <x:v>0</x:v>
      </x:c>
      <x:c r="H18" s="37">
        <x:v>1559.8</x:v>
      </x:c>
      <x:c r="I18" s="37">
        <x:v>1559.8</x:v>
      </x:c>
      <x:c r="J18" s="34">
        <x:v>46053</x:v>
      </x:c>
      <x:c r="K18" s="34"/>
      <x:c r="L18" s="12" t="s">
        <x:v>27</x:v>
      </x:c>
      <x:c r="M18" s="37">
        <x:v>1211.1500000000001</x:v>
      </x:c>
      <x:c r="N18" s="37">
        <x:v>170.19</x:v>
      </x:c>
      <x:c r="O18" s="36" t="n">
        <x:f t="shared" si="4">IF(OR(B18="",J18=""),"",J18-B18)</x:f>
        <x:v>12</x:v>
      </x:c>
      <x:c r="P18" s="36" t="n">
        <x:f t="shared" ca="1" si="0">IF(L18="Cancelado","",IF(L18="Entregue",IF(K18="","",MAX(0,K18-J18)),MAX(0,TODAY()-J18)))</x:f>
        <x:v>227</x:v>
      </x:c>
      <x:c r="Q18" s="12" t="str">
        <x:f t="shared" ca="1" si="1">IF(L18="Cancelado","Cancelado",IF(L18="Entregue",IF(P18&gt;0,"Entregue com atraso","Entregue no prazo"),IF(P18&gt;0,"Atrasado","Dentro do prazo")))</x:f>
        <x:v>Atrasado</x:v>
      </x:c>
      <x:c r="R18" s="37" t="n">
        <x:f t="shared" ca="1" si="2">IF(OR(M18="",N18=""),"",ROUND(M18+N18,2))</x:f>
        <x:v>1381.34</x:v>
      </x:c>
      <x:c r="S18" s="37" t="n">
        <x:f t="shared" si="3">IF(OR(I18="",R18=""),"",ROUND(I18-R18,2))</x:f>
        <x:v>178.46</x:v>
      </x:c>
    </x:row>
    <x:row r="19">
      <x:c r="A19" s="12" t="s">
        <x:v>141</x:v>
      </x:c>
      <x:c r="B19" s="34">
        <x:v>46059</x:v>
      </x:c>
      <x:c r="C19" s="12" t="s">
        <x:v>142</x:v>
      </x:c>
      <x:c r="D19" s="12" t="s">
        <x:v>111</x:v>
      </x:c>
      <x:c r="E19" s="12">
        <x:v>3</x:v>
      </x:c>
      <x:c r="F19" s="37">
        <x:v>599.9</x:v>
      </x:c>
      <x:c r="G19" s="38">
        <x:v>0</x:v>
      </x:c>
      <x:c r="H19" s="37">
        <x:v>1799.7</x:v>
      </x:c>
      <x:c r="I19" s="37">
        <x:v>1799.7</x:v>
      </x:c>
      <x:c r="J19" s="34">
        <x:v>46072</x:v>
      </x:c>
      <x:c r="K19" s="34"/>
      <x:c r="L19" s="12" t="s">
        <x:v>27</x:v>
      </x:c>
      <x:c r="M19" s="37">
        <x:v>1237.6600000000001</x:v>
      </x:c>
      <x:c r="N19" s="37">
        <x:v>94.77</x:v>
      </x:c>
      <x:c r="O19" s="36" t="n">
        <x:f t="shared" si="4">IF(OR(B19="",J19=""),"",J19-B19)</x:f>
        <x:v>13</x:v>
      </x:c>
      <x:c r="P19" s="36" t="n">
        <x:f t="shared" ca="1" si="0">IF(L19="Cancelado","",IF(L19="Entregue",IF(K19="","",MAX(0,K19-J19)),MAX(0,TODAY()-J19)))</x:f>
        <x:v>208</x:v>
      </x:c>
      <x:c r="Q19" s="12" t="str">
        <x:f t="shared" ca="1" si="1">IF(L19="Cancelado","Cancelado",IF(L19="Entregue",IF(P19&gt;0,"Entregue com atraso","Entregue no prazo"),IF(P19&gt;0,"Atrasado","Dentro do prazo")))</x:f>
        <x:v>Atrasado</x:v>
      </x:c>
      <x:c r="R19" s="37" t="n">
        <x:f t="shared" ca="1" si="2">IF(OR(M19="",N19=""),"",ROUND(M19+N19,2))</x:f>
        <x:v>1332.43</x:v>
      </x:c>
      <x:c r="S19" s="37" t="n">
        <x:f t="shared" si="3">IF(OR(I19="",R19=""),"",ROUND(I19-R19,2))</x:f>
        <x:v>467.27</x:v>
      </x:c>
    </x:row>
    <x:row r="20">
      <x:c r="A20" s="12" t="s">
        <x:v>144</x:v>
      </x:c>
      <x:c r="B20" s="34">
        <x:v>46165</x:v>
      </x:c>
      <x:c r="C20" s="12" t="s">
        <x:v>145</x:v>
      </x:c>
      <x:c r="D20" s="12" t="s">
        <x:v>147</x:v>
      </x:c>
      <x:c r="E20" s="12">
        <x:v>5</x:v>
      </x:c>
      <x:c r="F20" s="37">
        <x:v>459.9</x:v>
      </x:c>
      <x:c r="G20" s="38">
        <x:v>0.03</x:v>
      </x:c>
      <x:c r="H20" s="37">
        <x:v>2299.5</x:v>
      </x:c>
      <x:c r="I20" s="37">
        <x:v>2230.5100000000002</x:v>
      </x:c>
      <x:c r="J20" s="34">
        <x:v>46180</x:v>
      </x:c>
      <x:c r="K20" s="34">
        <x:v>46182</x:v>
      </x:c>
      <x:c r="L20" s="12" t="s">
        <x:v>28</x:v>
      </x:c>
      <x:c r="M20" s="37">
        <x:v>1703.97</x:v>
      </x:c>
      <x:c r="N20" s="37">
        <x:v>151.1</x:v>
      </x:c>
      <x:c r="O20" s="36" t="n">
        <x:f t="shared" si="4">IF(OR(B20="",J20=""),"",J20-B20)</x:f>
        <x:v>15</x:v>
      </x:c>
      <x:c r="P20" s="36" t="n">
        <x:f t="shared" ca="1" si="0">IF(L20="Cancelado","",IF(L20="Entregue",IF(K20="","",MAX(0,K20-J20)),MAX(0,TODAY()-J20)))</x:f>
        <x:v>2</x:v>
      </x:c>
      <x:c r="Q20" s="12" t="str">
        <x:f t="shared" ca="1" si="1">IF(L20="Cancelado","Cancelado",IF(L20="Entregue",IF(P20&gt;0,"Entregue com atraso","Entregue no prazo"),IF(P20&gt;0,"Atrasado","Dentro do prazo")))</x:f>
        <x:v>Entregue com atraso</x:v>
      </x:c>
      <x:c r="R20" s="37" t="n">
        <x:f t="shared" ca="1" si="2">IF(OR(M20="",N20=""),"",ROUND(M20+N20,2))</x:f>
        <x:v>1855.07</x:v>
      </x:c>
      <x:c r="S20" s="37" t="n">
        <x:f t="shared" si="3">IF(OR(I20="",R20=""),"",ROUND(I20-R20,2))</x:f>
        <x:v>375.44</x:v>
      </x:c>
    </x:row>
    <x:row r="21">
      <x:c r="A21" s="12" t="s">
        <x:v>150</x:v>
      </x:c>
      <x:c r="B21" s="34">
        <x:v>46090</x:v>
      </x:c>
      <x:c r="C21" s="12" t="s">
        <x:v>137</x:v>
      </x:c>
      <x:c r="D21" s="12" t="s">
        <x:v>151</x:v>
      </x:c>
      <x:c r="E21" s="12">
        <x:v>6</x:v>
      </x:c>
      <x:c r="F21" s="37">
        <x:v>989.9</x:v>
      </x:c>
      <x:c r="G21" s="38">
        <x:v>0</x:v>
      </x:c>
      <x:c r="H21" s="37">
        <x:v>5939.4</x:v>
      </x:c>
      <x:c r="I21" s="37">
        <x:v>5939.4</x:v>
      </x:c>
      <x:c r="J21" s="34">
        <x:v>46104</x:v>
      </x:c>
      <x:c r="K21" s="34">
        <x:v>46109</x:v>
      </x:c>
      <x:c r="L21" s="12" t="s">
        <x:v>28</x:v>
      </x:c>
      <x:c r="M21" s="37">
        <x:v>3891.7</x:v>
      </x:c>
      <x:c r="N21" s="37">
        <x:v>61.68</x:v>
      </x:c>
      <x:c r="O21" s="36" t="n">
        <x:f t="shared" si="4">IF(OR(B21="",J21=""),"",J21-B21)</x:f>
        <x:v>14</x:v>
      </x:c>
      <x:c r="P21" s="36" t="n">
        <x:f t="shared" ca="1" si="0">IF(L21="Cancelado","",IF(L21="Entregue",IF(K21="","",MAX(0,K21-J21)),MAX(0,TODAY()-J21)))</x:f>
        <x:v>5</x:v>
      </x:c>
      <x:c r="Q21" s="12" t="str">
        <x:f t="shared" ca="1" si="1">IF(L21="Cancelado","Cancelado",IF(L21="Entregue",IF(P21&gt;0,"Entregue com atraso","Entregue no prazo"),IF(P21&gt;0,"Atrasado","Dentro do prazo")))</x:f>
        <x:v>Entregue com atraso</x:v>
      </x:c>
      <x:c r="R21" s="37" t="n">
        <x:f t="shared" ca="1" si="2">IF(OR(M21="",N21=""),"",ROUND(M21+N21,2))</x:f>
        <x:v>3953.38</x:v>
      </x:c>
      <x:c r="S21" s="37" t="n">
        <x:f t="shared" si="3">IF(OR(I21="",R21=""),"",ROUND(I21-R21,2))</x:f>
        <x:v>1986.02</x:v>
      </x:c>
    </x:row>
    <x:row r="22">
      <x:c r="A22" s="12" t="s">
        <x:v>153</x:v>
      </x:c>
      <x:c r="B22" s="34">
        <x:v>46188</x:v>
      </x:c>
      <x:c r="C22" s="12" t="s">
        <x:v>79</x:v>
      </x:c>
      <x:c r="D22" s="12" t="s">
        <x:v>82</x:v>
      </x:c>
      <x:c r="E22" s="12">
        <x:v>2</x:v>
      </x:c>
      <x:c r="F22" s="37">
        <x:v>729.9</x:v>
      </x:c>
      <x:c r="G22" s="38">
        <x:v>0</x:v>
      </x:c>
      <x:c r="H22" s="37">
        <x:v>1459.8</x:v>
      </x:c>
      <x:c r="I22" s="37">
        <x:v>1459.8</x:v>
      </x:c>
      <x:c r="J22" s="34">
        <x:v>46198</x:v>
      </x:c>
      <x:c r="K22" s="34">
        <x:v>46198</x:v>
      </x:c>
      <x:c r="L22" s="12" t="s">
        <x:v>28</x:v>
      </x:c>
      <x:c r="M22" s="37">
        <x:v>970.12</x:v>
      </x:c>
      <x:c r="N22" s="37">
        <x:v>159.07</x:v>
      </x:c>
      <x:c r="O22" s="36" t="n">
        <x:f t="shared" si="4">IF(OR(B22="",J22=""),"",J22-B22)</x:f>
        <x:v>10</x:v>
      </x:c>
      <x:c r="P22" s="36" t="n">
        <x:f t="shared" ca="1" si="0">IF(L22="Cancelado","",IF(L22="Entregue",IF(K22="","",MAX(0,K22-J22)),MAX(0,TODAY()-J22)))</x:f>
        <x:v>0</x:v>
      </x:c>
      <x:c r="Q22" s="12" t="str">
        <x:f t="shared" ca="1" si="1">IF(L22="Cancelado","Cancelado",IF(L22="Entregue",IF(P22&gt;0,"Entregue com atraso","Entregue no prazo"),IF(P22&gt;0,"Atrasado","Dentro do prazo")))</x:f>
        <x:v>Entregue no prazo</x:v>
      </x:c>
      <x:c r="R22" s="37" t="n">
        <x:f t="shared" ca="1" si="2">IF(OR(M22="",N22=""),"",ROUND(M22+N22,2))</x:f>
        <x:v>1129.19</x:v>
      </x:c>
      <x:c r="S22" s="37" t="n">
        <x:f t="shared" si="3">IF(OR(I22="",R22=""),"",ROUND(I22-R22,2))</x:f>
        <x:v>330.61</x:v>
      </x:c>
    </x:row>
    <x:row r="23">
      <x:c r="A23" s="12" t="s">
        <x:v>154</x:v>
      </x:c>
      <x:c r="B23" s="34">
        <x:v>46165</x:v>
      </x:c>
      <x:c r="C23" s="12" t="s">
        <x:v>142</x:v>
      </x:c>
      <x:c r="D23" s="12" t="s">
        <x:v>139</x:v>
      </x:c>
      <x:c r="E23" s="12">
        <x:v>8</x:v>
      </x:c>
      <x:c r="F23" s="37">
        <x:v>779.9</x:v>
      </x:c>
      <x:c r="G23" s="38">
        <x:v>0</x:v>
      </x:c>
      <x:c r="H23" s="37">
        <x:v>6239.2</x:v>
      </x:c>
      <x:c r="I23" s="37">
        <x:v>6239.2</x:v>
      </x:c>
      <x:c r="J23" s="34">
        <x:v>46177</x:v>
      </x:c>
      <x:c r="K23" s="34"/>
      <x:c r="L23" s="12" t="s">
        <x:v>27</x:v>
      </x:c>
      <x:c r="M23" s="37">
        <x:v>4058.38</x:v>
      </x:c>
      <x:c r="N23" s="37">
        <x:v>67.78</x:v>
      </x:c>
      <x:c r="O23" s="36" t="n">
        <x:f t="shared" si="4">IF(OR(B23="",J23=""),"",J23-B23)</x:f>
        <x:v>12</x:v>
      </x:c>
      <x:c r="P23" s="36" t="n">
        <x:f t="shared" ca="1" si="0">IF(L23="Cancelado","",IF(L23="Entregue",IF(K23="","",MAX(0,K23-J23)),MAX(0,TODAY()-J23)))</x:f>
        <x:v>103</x:v>
      </x:c>
      <x:c r="Q23" s="12" t="str">
        <x:f t="shared" ca="1" si="1">IF(L23="Cancelado","Cancelado",IF(L23="Entregue",IF(P23&gt;0,"Entregue com atraso","Entregue no prazo"),IF(P23&gt;0,"Atrasado","Dentro do prazo")))</x:f>
        <x:v>Atrasado</x:v>
      </x:c>
      <x:c r="R23" s="37" t="n">
        <x:f t="shared" ca="1" si="2">IF(OR(M23="",N23=""),"",ROUND(M23+N23,2))</x:f>
        <x:v>4126.16</x:v>
      </x:c>
      <x:c r="S23" s="37" t="n">
        <x:f t="shared" si="3">IF(OR(I23="",R23=""),"",ROUND(I23-R23,2))</x:f>
        <x:v>2113.04</x:v>
      </x:c>
    </x:row>
    <x:row r="24">
      <x:c r="A24" s="12" t="s">
        <x:v>155</x:v>
      </x:c>
      <x:c r="B24" s="34">
        <x:v>46137</x:v>
      </x:c>
      <x:c r="C24" s="12" t="s">
        <x:v>86</x:v>
      </x:c>
      <x:c r="D24" s="12" t="s">
        <x:v>156</x:v>
      </x:c>
      <x:c r="E24" s="12">
        <x:v>7</x:v>
      </x:c>
      <x:c r="F24" s="37">
        <x:v>849.9</x:v>
      </x:c>
      <x:c r="G24" s="38">
        <x:v>0.03</x:v>
      </x:c>
      <x:c r="H24" s="37">
        <x:v>5949.3</x:v>
      </x:c>
      <x:c r="I24" s="37">
        <x:v>5770.82</x:v>
      </x:c>
      <x:c r="J24" s="34">
        <x:v>46142</x:v>
      </x:c>
      <x:c r="K24" s="34">
        <x:v>46149</x:v>
      </x:c>
      <x:c r="L24" s="12" t="s">
        <x:v>28</x:v>
      </x:c>
      <x:c r="M24" s="37">
        <x:v>3668.78</x:v>
      </x:c>
      <x:c r="N24" s="37">
        <x:v>139.62</x:v>
      </x:c>
      <x:c r="O24" s="36" t="n">
        <x:f t="shared" si="4">IF(OR(B24="",J24=""),"",J24-B24)</x:f>
        <x:v>5</x:v>
      </x:c>
      <x:c r="P24" s="36" t="n">
        <x:f t="shared" ca="1" si="0">IF(L24="Cancelado","",IF(L24="Entregue",IF(K24="","",MAX(0,K24-J24)),MAX(0,TODAY()-J24)))</x:f>
        <x:v>7</x:v>
      </x:c>
      <x:c r="Q24" s="12" t="str">
        <x:f t="shared" ca="1" si="1">IF(L24="Cancelado","Cancelado",IF(L24="Entregue",IF(P24&gt;0,"Entregue com atraso","Entregue no prazo"),IF(P24&gt;0,"Atrasado","Dentro do prazo")))</x:f>
        <x:v>Entregue com atraso</x:v>
      </x:c>
      <x:c r="R24" s="37" t="n">
        <x:f t="shared" ca="1" si="2">IF(OR(M24="",N24=""),"",ROUND(M24+N24,2))</x:f>
        <x:v>3808.4</x:v>
      </x:c>
      <x:c r="S24" s="37" t="n">
        <x:f t="shared" si="3">IF(OR(I24="",R24=""),"",ROUND(I24-R24,2))</x:f>
        <x:v>1962.42</x:v>
      </x:c>
    </x:row>
    <x:row r="25">
      <x:c r="A25" s="12" t="s">
        <x:v>158</x:v>
      </x:c>
      <x:c r="B25" s="34">
        <x:v>46113</x:v>
      </x:c>
      <x:c r="C25" s="12" t="s">
        <x:v>64</x:v>
      </x:c>
      <x:c r="D25" s="12" t="s">
        <x:v>159</x:v>
      </x:c>
      <x:c r="E25" s="12">
        <x:v>4</x:v>
      </x:c>
      <x:c r="F25" s="37">
        <x:v>329.9</x:v>
      </x:c>
      <x:c r="G25" s="38">
        <x:v>0</x:v>
      </x:c>
      <x:c r="H25" s="37">
        <x:v>1319.6</x:v>
      </x:c>
      <x:c r="I25" s="37">
        <x:v>1319.6</x:v>
      </x:c>
      <x:c r="J25" s="34">
        <x:v>46121</x:v>
      </x:c>
      <x:c r="K25" s="34">
        <x:v>46120</x:v>
      </x:c>
      <x:c r="L25" s="12" t="s">
        <x:v>28</x:v>
      </x:c>
      <x:c r="M25" s="37">
        <x:v>907.23</x:v>
      </x:c>
      <x:c r="N25" s="37">
        <x:v>110.46</x:v>
      </x:c>
      <x:c r="O25" s="36" t="n">
        <x:f t="shared" si="4">IF(OR(B25="",J25=""),"",J25-B25)</x:f>
        <x:v>8</x:v>
      </x:c>
      <x:c r="P25" s="36" t="n">
        <x:f t="shared" ca="1" si="0">IF(L25="Cancelado","",IF(L25="Entregue",IF(K25="","",MAX(0,K25-J25)),MAX(0,TODAY()-J25)))</x:f>
        <x:v>0</x:v>
      </x:c>
      <x:c r="Q25" s="12" t="str">
        <x:f t="shared" ca="1" si="1">IF(L25="Cancelado","Cancelado",IF(L25="Entregue",IF(P25&gt;0,"Entregue com atraso","Entregue no prazo"),IF(P25&gt;0,"Atrasado","Dentro do prazo")))</x:f>
        <x:v>Entregue no prazo</x:v>
      </x:c>
      <x:c r="R25" s="37" t="n">
        <x:f t="shared" ca="1" si="2">IF(OR(M25="",N25=""),"",ROUND(M25+N25,2))</x:f>
        <x:v>1017.69</x:v>
      </x:c>
      <x:c r="S25" s="37" t="n">
        <x:f t="shared" si="3">IF(OR(I25="",R25=""),"",ROUND(I25-R25,2))</x:f>
        <x:v>301.91</x:v>
      </x:c>
    </x:row>
    <x:row r="26">
      <x:c r="A26" s="12" t="s">
        <x:v>161</x:v>
      </x:c>
      <x:c r="B26" s="34">
        <x:v>46090</x:v>
      </x:c>
      <x:c r="C26" s="12" t="s">
        <x:v>162</x:v>
      </x:c>
      <x:c r="D26" s="12" t="s">
        <x:v>151</x:v>
      </x:c>
      <x:c r="E26" s="12">
        <x:v>8</x:v>
      </x:c>
      <x:c r="F26" s="37">
        <x:v>989.9</x:v>
      </x:c>
      <x:c r="G26" s="38">
        <x:v>0.05</x:v>
      </x:c>
      <x:c r="H26" s="37">
        <x:v>7919.2</x:v>
      </x:c>
      <x:c r="I26" s="37">
        <x:v>7523.24</x:v>
      </x:c>
      <x:c r="J26" s="34">
        <x:v>46096</x:v>
      </x:c>
      <x:c r="K26" s="34">
        <x:v>46099</x:v>
      </x:c>
      <x:c r="L26" s="12" t="s">
        <x:v>28</x:v>
      </x:c>
      <x:c r="M26" s="37">
        <x:v>5670.75</x:v>
      </x:c>
      <x:c r="N26" s="37">
        <x:v>272.70999999999998</x:v>
      </x:c>
      <x:c r="O26" s="36" t="n">
        <x:f t="shared" si="4">IF(OR(B26="",J26=""),"",J26-B26)</x:f>
        <x:v>6</x:v>
      </x:c>
      <x:c r="P26" s="36" t="n">
        <x:f t="shared" ca="1" si="0">IF(L26="Cancelado","",IF(L26="Entregue",IF(K26="","",MAX(0,K26-J26)),MAX(0,TODAY()-J26)))</x:f>
        <x:v>3</x:v>
      </x:c>
      <x:c r="Q26" s="12" t="str">
        <x:f t="shared" ca="1" si="1">IF(L26="Cancelado","Cancelado",IF(L26="Entregue",IF(P26&gt;0,"Entregue com atraso","Entregue no prazo"),IF(P26&gt;0,"Atrasado","Dentro do prazo")))</x:f>
        <x:v>Entregue com atraso</x:v>
      </x:c>
      <x:c r="R26" s="37" t="n">
        <x:f t="shared" ca="1" si="2">IF(OR(M26="",N26=""),"",ROUND(M26+N26,2))</x:f>
        <x:v>5943.46</x:v>
      </x:c>
      <x:c r="S26" s="37" t="n">
        <x:f t="shared" si="3">IF(OR(I26="",R26=""),"",ROUND(I26-R26,2))</x:f>
        <x:v>1579.78</x:v>
      </x:c>
    </x:row>
    <x:row r="27">
      <x:c r="A27" s="12" t="s">
        <x:v>165</x:v>
      </x:c>
      <x:c r="B27" s="34">
        <x:v>46219</x:v>
      </x:c>
      <x:c r="C27" s="12" t="s">
        <x:v>162</x:v>
      </x:c>
      <x:c r="D27" s="12" t="s">
        <x:v>82</x:v>
      </x:c>
      <x:c r="E27" s="12">
        <x:v>3</x:v>
      </x:c>
      <x:c r="F27" s="37">
        <x:v>729.9</x:v>
      </x:c>
      <x:c r="G27" s="38">
        <x:v>0.03</x:v>
      </x:c>
      <x:c r="H27" s="37">
        <x:v>2189.6999999999998</x:v>
      </x:c>
      <x:c r="I27" s="37">
        <x:v>2124.0100000000002</x:v>
      </x:c>
      <x:c r="J27" s="34">
        <x:v>46231</x:v>
      </x:c>
      <x:c r="K27" s="34">
        <x:v>46232</x:v>
      </x:c>
      <x:c r="L27" s="12" t="s">
        <x:v>28</x:v>
      </x:c>
      <x:c r="M27" s="37">
        <x:v>1623.57</x:v>
      </x:c>
      <x:c r="N27" s="37">
        <x:v>83.69</x:v>
      </x:c>
      <x:c r="O27" s="36" t="n">
        <x:f t="shared" si="4">IF(OR(B27="",J27=""),"",J27-B27)</x:f>
        <x:v>12</x:v>
      </x:c>
      <x:c r="P27" s="36" t="n">
        <x:f t="shared" ca="1" si="0">IF(L27="Cancelado","",IF(L27="Entregue",IF(K27="","",MAX(0,K27-J27)),MAX(0,TODAY()-J27)))</x:f>
        <x:v>1</x:v>
      </x:c>
      <x:c r="Q27" s="12" t="str">
        <x:f t="shared" ca="1" si="1">IF(L27="Cancelado","Cancelado",IF(L27="Entregue",IF(P27&gt;0,"Entregue com atraso","Entregue no prazo"),IF(P27&gt;0,"Atrasado","Dentro do prazo")))</x:f>
        <x:v>Entregue com atraso</x:v>
      </x:c>
      <x:c r="R27" s="37" t="n">
        <x:f t="shared" ca="1" si="2">IF(OR(M27="",N27=""),"",ROUND(M27+N27,2))</x:f>
        <x:v>1707.26</x:v>
      </x:c>
      <x:c r="S27" s="37" t="n">
        <x:f t="shared" si="3">IF(OR(I27="",R27=""),"",ROUND(I27-R27,2))</x:f>
        <x:v>416.75</x:v>
      </x:c>
    </x:row>
    <x:row r="28">
      <x:c r="A28" s="12" t="s">
        <x:v>166</x:v>
      </x:c>
      <x:c r="B28" s="34">
        <x:v>46027</x:v>
      </x:c>
      <x:c r="C28" s="12" t="s">
        <x:v>115</x:v>
      </x:c>
      <x:c r="D28" s="12" t="s">
        <x:v>124</x:v>
      </x:c>
      <x:c r="E28" s="12">
        <x:v>8</x:v>
      </x:c>
      <x:c r="F28" s="37">
        <x:v>579.9</x:v>
      </x:c>
      <x:c r="G28" s="38">
        <x:v>0</x:v>
      </x:c>
      <x:c r="H28" s="37">
        <x:v>4639.2</x:v>
      </x:c>
      <x:c r="I28" s="37">
        <x:v>4639.2</x:v>
      </x:c>
      <x:c r="J28" s="34">
        <x:v>46038</x:v>
      </x:c>
      <x:c r="K28" s="34">
        <x:v>46041</x:v>
      </x:c>
      <x:c r="L28" s="12" t="s">
        <x:v>28</x:v>
      </x:c>
      <x:c r="M28" s="37">
        <x:v>3367.59</x:v>
      </x:c>
      <x:c r="N28" s="37">
        <x:v>159.37</x:v>
      </x:c>
      <x:c r="O28" s="36" t="n">
        <x:f t="shared" si="4">IF(OR(B28="",J28=""),"",J28-B28)</x:f>
        <x:v>11</x:v>
      </x:c>
      <x:c r="P28" s="36" t="n">
        <x:f t="shared" ca="1" si="0">IF(L28="Cancelado","",IF(L28="Entregue",IF(K28="","",MAX(0,K28-J28)),MAX(0,TODAY()-J28)))</x:f>
        <x:v>3</x:v>
      </x:c>
      <x:c r="Q28" s="12" t="str">
        <x:f t="shared" ca="1" si="1">IF(L28="Cancelado","Cancelado",IF(L28="Entregue",IF(P28&gt;0,"Entregue com atraso","Entregue no prazo"),IF(P28&gt;0,"Atrasado","Dentro do prazo")))</x:f>
        <x:v>Entregue com atraso</x:v>
      </x:c>
      <x:c r="R28" s="37" t="n">
        <x:f t="shared" ca="1" si="2">IF(OR(M28="",N28=""),"",ROUND(M28+N28,2))</x:f>
        <x:v>3526.96</x:v>
      </x:c>
      <x:c r="S28" s="37" t="n">
        <x:f t="shared" si="3">IF(OR(I28="",R28=""),"",ROUND(I28-R28,2))</x:f>
        <x:v>1112.24</x:v>
      </x:c>
    </x:row>
    <x:row r="29">
      <x:c r="A29" s="12" t="s">
        <x:v>167</x:v>
      </x:c>
      <x:c r="B29" s="34">
        <x:v>46075</x:v>
      </x:c>
      <x:c r="C29" s="12" t="s">
        <x:v>168</x:v>
      </x:c>
      <x:c r="D29" s="12" t="s">
        <x:v>147</x:v>
      </x:c>
      <x:c r="E29" s="12">
        <x:v>1</x:v>
      </x:c>
      <x:c r="F29" s="37">
        <x:v>459.9</x:v>
      </x:c>
      <x:c r="G29" s="38">
        <x:v>0.05</x:v>
      </x:c>
      <x:c r="H29" s="37">
        <x:v>459.9</x:v>
      </x:c>
      <x:c r="I29" s="37">
        <x:v>436.9</x:v>
      </x:c>
      <x:c r="J29" s="34">
        <x:v>46088</x:v>
      </x:c>
      <x:c r="K29" s="34">
        <x:v>46088</x:v>
      </x:c>
      <x:c r="L29" s="12" t="s">
        <x:v>28</x:v>
      </x:c>
      <x:c r="M29" s="37">
        <x:v>274.87</x:v>
      </x:c>
      <x:c r="N29" s="37">
        <x:v>182.28</x:v>
      </x:c>
      <x:c r="O29" s="36" t="n">
        <x:f t="shared" si="4">IF(OR(B29="",J29=""),"",J29-B29)</x:f>
        <x:v>13</x:v>
      </x:c>
      <x:c r="P29" s="36" t="n">
        <x:f t="shared" ca="1" si="0">IF(L29="Cancelado","",IF(L29="Entregue",IF(K29="","",MAX(0,K29-J29)),MAX(0,TODAY()-J29)))</x:f>
        <x:v>0</x:v>
      </x:c>
      <x:c r="Q29" s="12" t="str">
        <x:f t="shared" ca="1" si="1">IF(L29="Cancelado","Cancelado",IF(L29="Entregue",IF(P29&gt;0,"Entregue com atraso","Entregue no prazo"),IF(P29&gt;0,"Atrasado","Dentro do prazo")))</x:f>
        <x:v>Entregue no prazo</x:v>
      </x:c>
      <x:c r="R29" s="37" t="n">
        <x:f t="shared" ca="1" si="2">IF(OR(M29="",N29=""),"",ROUND(M29+N29,2))</x:f>
        <x:v>457.15</x:v>
      </x:c>
      <x:c r="S29" s="37" t="n">
        <x:f t="shared" si="3">IF(OR(I29="",R29=""),"",ROUND(I29-R29,2))</x:f>
        <x:v>-20.25</x:v>
      </x:c>
    </x:row>
    <x:row r="30">
      <x:c r="A30" s="12" t="s">
        <x:v>170</x:v>
      </x:c>
      <x:c r="B30" s="34">
        <x:v>46155</x:v>
      </x:c>
      <x:c r="C30" s="12" t="s">
        <x:v>171</x:v>
      </x:c>
      <x:c r="D30" s="12" t="s">
        <x:v>173</x:v>
      </x:c>
      <x:c r="E30" s="12">
        <x:v>3</x:v>
      </x:c>
      <x:c r="F30" s="37">
        <x:v>289.89999999999998</x:v>
      </x:c>
      <x:c r="G30" s="38">
        <x:v>0</x:v>
      </x:c>
      <x:c r="H30" s="37">
        <x:v>869.7</x:v>
      </x:c>
      <x:c r="I30" s="37">
        <x:v>869.7</x:v>
      </x:c>
      <x:c r="J30" s="34">
        <x:v>46168</x:v>
      </x:c>
      <x:c r="K30" s="34">
        <x:v>46167</x:v>
      </x:c>
      <x:c r="L30" s="12" t="s">
        <x:v>28</x:v>
      </x:c>
      <x:c r="M30" s="37">
        <x:v>548.75</x:v>
      </x:c>
      <x:c r="N30" s="37">
        <x:v>60.97</x:v>
      </x:c>
      <x:c r="O30" s="36" t="n">
        <x:f t="shared" si="4">IF(OR(B30="",J30=""),"",J30-B30)</x:f>
        <x:v>13</x:v>
      </x:c>
      <x:c r="P30" s="36" t="n">
        <x:f t="shared" ca="1" si="0">IF(L30="Cancelado","",IF(L30="Entregue",IF(K30="","",MAX(0,K30-J30)),MAX(0,TODAY()-J30)))</x:f>
        <x:v>0</x:v>
      </x:c>
      <x:c r="Q30" s="12" t="str">
        <x:f t="shared" ca="1" si="1">IF(L30="Cancelado","Cancelado",IF(L30="Entregue",IF(P30&gt;0,"Entregue com atraso","Entregue no prazo"),IF(P30&gt;0,"Atrasado","Dentro do prazo")))</x:f>
        <x:v>Entregue no prazo</x:v>
      </x:c>
      <x:c r="R30" s="37" t="n">
        <x:f t="shared" ca="1" si="2">IF(OR(M30="",N30=""),"",ROUND(M30+N30,2))</x:f>
        <x:v>609.72</x:v>
      </x:c>
      <x:c r="S30" s="37" t="n">
        <x:f t="shared" si="3">IF(OR(I30="",R30=""),"",ROUND(I30-R30,2))</x:f>
        <x:v>259.98</x:v>
      </x:c>
    </x:row>
    <x:row r="31">
      <x:c r="A31" s="12" t="s">
        <x:v>175</x:v>
      </x:c>
      <x:c r="B31" s="34">
        <x:v>46247</x:v>
      </x:c>
      <x:c r="C31" s="12" t="s">
        <x:v>137</x:v>
      </x:c>
      <x:c r="D31" s="12" t="s">
        <x:v>72</x:v>
      </x:c>
      <x:c r="E31" s="12">
        <x:v>2</x:v>
      </x:c>
      <x:c r="F31" s="37">
        <x:v>1349.9</x:v>
      </x:c>
      <x:c r="G31" s="38">
        <x:v>0.05</x:v>
      </x:c>
      <x:c r="H31" s="37">
        <x:v>2699.8</x:v>
      </x:c>
      <x:c r="I31" s="37">
        <x:v>2564.81</x:v>
      </x:c>
      <x:c r="J31" s="34">
        <x:v>46255</x:v>
      </x:c>
      <x:c r="K31" s="34">
        <x:v>46252</x:v>
      </x:c>
      <x:c r="L31" s="12" t="s">
        <x:v>28</x:v>
      </x:c>
      <x:c r="M31" s="37">
        <x:v>1844.36</x:v>
      </x:c>
      <x:c r="N31" s="37">
        <x:v>143.52000000000001</x:v>
      </x:c>
      <x:c r="O31" s="36" t="n">
        <x:f t="shared" si="4">IF(OR(B31="",J31=""),"",J31-B31)</x:f>
        <x:v>8</x:v>
      </x:c>
      <x:c r="P31" s="36" t="n">
        <x:f t="shared" ca="1" si="0">IF(L31="Cancelado","",IF(L31="Entregue",IF(K31="","",MAX(0,K31-J31)),MAX(0,TODAY()-J31)))</x:f>
        <x:v>0</x:v>
      </x:c>
      <x:c r="Q31" s="12" t="str">
        <x:f t="shared" ca="1" si="1">IF(L31="Cancelado","Cancelado",IF(L31="Entregue",IF(P31&gt;0,"Entregue com atraso","Entregue no prazo"),IF(P31&gt;0,"Atrasado","Dentro do prazo")))</x:f>
        <x:v>Entregue no prazo</x:v>
      </x:c>
      <x:c r="R31" s="37" t="n">
        <x:f t="shared" ca="1" si="2">IF(OR(M31="",N31=""),"",ROUND(M31+N31,2))</x:f>
        <x:v>1987.88</x:v>
      </x:c>
      <x:c r="S31" s="37" t="n">
        <x:f t="shared" si="3">IF(OR(I31="",R31=""),"",ROUND(I31-R31,2))</x:f>
        <x:v>576.93</x:v>
      </x:c>
    </x:row>
    <x:row r="32">
      <x:c r="A32" s="12" t="s">
        <x:v>176</x:v>
      </x:c>
      <x:c r="B32" s="34">
        <x:v>46176</x:v>
      </x:c>
      <x:c r="C32" s="12" t="s">
        <x:v>177</x:v>
      </x:c>
      <x:c r="D32" s="12" t="s">
        <x:v>173</x:v>
      </x:c>
      <x:c r="E32" s="12">
        <x:v>6</x:v>
      </x:c>
      <x:c r="F32" s="37">
        <x:v>289.89999999999998</x:v>
      </x:c>
      <x:c r="G32" s="38">
        <x:v>0</x:v>
      </x:c>
      <x:c r="H32" s="37">
        <x:v>1739.4</x:v>
      </x:c>
      <x:c r="I32" s="37">
        <x:v>1739.4</x:v>
      </x:c>
      <x:c r="J32" s="34">
        <x:v>46184</x:v>
      </x:c>
      <x:c r="K32" s="34">
        <x:v>46184</x:v>
      </x:c>
      <x:c r="L32" s="12" t="s">
        <x:v>28</x:v>
      </x:c>
      <x:c r="M32" s="37">
        <x:v>1144.8599999999999</x:v>
      </x:c>
      <x:c r="N32" s="37">
        <x:v>138.01</x:v>
      </x:c>
      <x:c r="O32" s="36" t="n">
        <x:f t="shared" si="4">IF(OR(B32="",J32=""),"",J32-B32)</x:f>
        <x:v>8</x:v>
      </x:c>
      <x:c r="P32" s="36" t="n">
        <x:f t="shared" ca="1" si="0">IF(L32="Cancelado","",IF(L32="Entregue",IF(K32="","",MAX(0,K32-J32)),MAX(0,TODAY()-J32)))</x:f>
        <x:v>0</x:v>
      </x:c>
      <x:c r="Q32" s="12" t="str">
        <x:f t="shared" ca="1" si="1">IF(L32="Cancelado","Cancelado",IF(L32="Entregue",IF(P32&gt;0,"Entregue com atraso","Entregue no prazo"),IF(P32&gt;0,"Atrasado","Dentro do prazo")))</x:f>
        <x:v>Entregue no prazo</x:v>
      </x:c>
      <x:c r="R32" s="37" t="n">
        <x:f t="shared" ca="1" si="2">IF(OR(M32="",N32=""),"",ROUND(M32+N32,2))</x:f>
        <x:v>1282.87</x:v>
      </x:c>
      <x:c r="S32" s="37" t="n">
        <x:f t="shared" si="3">IF(OR(I32="",R32=""),"",ROUND(I32-R32,2))</x:f>
        <x:v>456.53</x:v>
      </x:c>
    </x:row>
    <x:row r="33">
      <x:c r="A33" s="12" t="s">
        <x:v>179</x:v>
      </x:c>
      <x:c r="B33" s="34">
        <x:v>46198</x:v>
      </x:c>
      <x:c r="C33" s="12" t="s">
        <x:v>180</x:v>
      </x:c>
      <x:c r="D33" s="12" t="s">
        <x:v>182</x:v>
      </x:c>
      <x:c r="E33" s="12">
        <x:v>8</x:v>
      </x:c>
      <x:c r="F33" s="37">
        <x:v>1099.9000000000001</x:v>
      </x:c>
      <x:c r="G33" s="38">
        <x:v>0</x:v>
      </x:c>
      <x:c r="H33" s="37">
        <x:v>8799.2000000000007</x:v>
      </x:c>
      <x:c r="I33" s="37">
        <x:v>8799.2000000000007</x:v>
      </x:c>
      <x:c r="J33" s="34">
        <x:v>46204</x:v>
      </x:c>
      <x:c r="K33" s="34">
        <x:v>46209</x:v>
      </x:c>
      <x:c r="L33" s="12" t="s">
        <x:v>28</x:v>
      </x:c>
      <x:c r="M33" s="37">
        <x:v>6861.2</x:v>
      </x:c>
      <x:c r="N33" s="37">
        <x:v>279.08</x:v>
      </x:c>
      <x:c r="O33" s="36" t="n">
        <x:f t="shared" si="4">IF(OR(B33="",J33=""),"",J33-B33)</x:f>
        <x:v>6</x:v>
      </x:c>
      <x:c r="P33" s="36" t="n">
        <x:f t="shared" ca="1" si="0">IF(L33="Cancelado","",IF(L33="Entregue",IF(K33="","",MAX(0,K33-J33)),MAX(0,TODAY()-J33)))</x:f>
        <x:v>5</x:v>
      </x:c>
      <x:c r="Q33" s="12" t="str">
        <x:f t="shared" ca="1" si="1">IF(L33="Cancelado","Cancelado",IF(L33="Entregue",IF(P33&gt;0,"Entregue com atraso","Entregue no prazo"),IF(P33&gt;0,"Atrasado","Dentro do prazo")))</x:f>
        <x:v>Entregue com atraso</x:v>
      </x:c>
      <x:c r="R33" s="37" t="n">
        <x:f t="shared" ca="1" si="2">IF(OR(M33="",N33=""),"",ROUND(M33+N33,2))</x:f>
        <x:v>7140.28</x:v>
      </x:c>
      <x:c r="S33" s="37" t="n">
        <x:f t="shared" si="3">IF(OR(I33="",R33=""),"",ROUND(I33-R33,2))</x:f>
        <x:v>1658.92</x:v>
      </x:c>
    </x:row>
    <x:row r="34">
      <x:c r="A34" s="12" t="s">
        <x:v>185</x:v>
      </x:c>
      <x:c r="B34" s="34">
        <x:v>46045</x:v>
      </x:c>
      <x:c r="C34" s="12" t="s">
        <x:v>92</x:v>
      </x:c>
      <x:c r="D34" s="12" t="s">
        <x:v>147</x:v>
      </x:c>
      <x:c r="E34" s="12">
        <x:v>5</x:v>
      </x:c>
      <x:c r="F34" s="37">
        <x:v>459.9</x:v>
      </x:c>
      <x:c r="G34" s="38">
        <x:v>0</x:v>
      </x:c>
      <x:c r="H34" s="37">
        <x:v>2299.5</x:v>
      </x:c>
      <x:c r="I34" s="37">
        <x:v>2299.5</x:v>
      </x:c>
      <x:c r="J34" s="34">
        <x:v>46055</x:v>
      </x:c>
      <x:c r="K34" s="34"/>
      <x:c r="L34" s="12" t="s">
        <x:v>27</x:v>
      </x:c>
      <x:c r="M34" s="37">
        <x:v>1749.19</x:v>
      </x:c>
      <x:c r="N34" s="37">
        <x:v>131.84</x:v>
      </x:c>
      <x:c r="O34" s="36" t="n">
        <x:f t="shared" si="4">IF(OR(B34="",J34=""),"",J34-B34)</x:f>
        <x:v>10</x:v>
      </x:c>
      <x:c r="P34" s="36" t="n">
        <x:f t="shared" ref="P34:P65" ca="1" si="5">IF(L34="Cancelado","",IF(L34="Entregue",IF(K34="","",MAX(0,K34-J34)),MAX(0,TODAY()-J34)))</x:f>
        <x:v>225</x:v>
      </x:c>
      <x:c r="Q34" s="12" t="str">
        <x:f t="shared" ref="Q34:Q65" ca="1" si="6">IF(L34="Cancelado","Cancelado",IF(L34="Entregue",IF(P34&gt;0,"Entregue com atraso","Entregue no prazo"),IF(P34&gt;0,"Atrasado","Dentro do prazo")))</x:f>
        <x:v>Atrasado</x:v>
      </x:c>
      <x:c r="R34" s="37" t="n">
        <x:f t="shared" ref="R34:R65" ca="1" si="7">IF(OR(M34="",N34=""),"",ROUND(M34+N34,2))</x:f>
        <x:v>1881.03</x:v>
      </x:c>
      <x:c r="S34" s="37" t="n">
        <x:f t="shared" ref="S34:S65" si="8">IF(OR(I34="",R34=""),"",ROUND(I34-R34,2))</x:f>
        <x:v>418.47</x:v>
      </x:c>
    </x:row>
    <x:row r="35">
      <x:c r="A35" s="12" t="s">
        <x:v>186</x:v>
      </x:c>
      <x:c r="B35" s="34">
        <x:v>46067</x:v>
      </x:c>
      <x:c r="C35" s="12" t="s">
        <x:v>187</x:v>
      </x:c>
      <x:c r="D35" s="12" t="s">
        <x:v>76</x:v>
      </x:c>
      <x:c r="E35" s="12">
        <x:v>5</x:v>
      </x:c>
      <x:c r="F35" s="37">
        <x:v>689.9</x:v>
      </x:c>
      <x:c r="G35" s="38">
        <x:v>0.05</x:v>
      </x:c>
      <x:c r="H35" s="37">
        <x:v>3449.5</x:v>
      </x:c>
      <x:c r="I35" s="37">
        <x:v>3277.02</x:v>
      </x:c>
      <x:c r="J35" s="34">
        <x:v>46082</x:v>
      </x:c>
      <x:c r="K35" s="34">
        <x:v>46089</x:v>
      </x:c>
      <x:c r="L35" s="12" t="s">
        <x:v>28</x:v>
      </x:c>
      <x:c r="M35" s="37">
        <x:v>2460.1799999999998</x:v>
      </x:c>
      <x:c r="N35" s="37">
        <x:v>115.35</x:v>
      </x:c>
      <x:c r="O35" s="36" t="n">
        <x:f t="shared" si="4">IF(OR(B35="",J35=""),"",J35-B35)</x:f>
        <x:v>15</x:v>
      </x:c>
      <x:c r="P35" s="36" t="n">
        <x:f t="shared" ca="1" si="5">IF(L35="Cancelado","",IF(L35="Entregue",IF(K35="","",MAX(0,K35-J35)),MAX(0,TODAY()-J35)))</x:f>
        <x:v>7</x:v>
      </x:c>
      <x:c r="Q35" s="12" t="str">
        <x:f t="shared" ca="1" si="6">IF(L35="Cancelado","Cancelado",IF(L35="Entregue",IF(P35&gt;0,"Entregue com atraso","Entregue no prazo"),IF(P35&gt;0,"Atrasado","Dentro do prazo")))</x:f>
        <x:v>Entregue com atraso</x:v>
      </x:c>
      <x:c r="R35" s="37" t="n">
        <x:f t="shared" ca="1" si="7">IF(OR(M35="",N35=""),"",ROUND(M35+N35,2))</x:f>
        <x:v>2575.53</x:v>
      </x:c>
      <x:c r="S35" s="37" t="n">
        <x:f t="shared" si="8">IF(OR(I35="",R35=""),"",ROUND(I35-R35,2))</x:f>
        <x:v>701.49</x:v>
      </x:c>
    </x:row>
    <x:row r="36">
      <x:c r="A36" s="12" t="s">
        <x:v>189</x:v>
      </x:c>
      <x:c r="B36" s="34">
        <x:v>46196</x:v>
      </x:c>
      <x:c r="C36" s="12" t="s">
        <x:v>119</x:v>
      </x:c>
      <x:c r="D36" s="12" t="s">
        <x:v>131</x:v>
      </x:c>
      <x:c r="E36" s="12">
        <x:v>5</x:v>
      </x:c>
      <x:c r="F36" s="37">
        <x:v>899.9</x:v>
      </x:c>
      <x:c r="G36" s="38">
        <x:v>0</x:v>
      </x:c>
      <x:c r="H36" s="37">
        <x:v>4499.5</x:v>
      </x:c>
      <x:c r="I36" s="37">
        <x:v>4499.5</x:v>
      </x:c>
      <x:c r="J36" s="34">
        <x:v>46202</x:v>
      </x:c>
      <x:c r="K36" s="34">
        <x:v>46201</x:v>
      </x:c>
      <x:c r="L36" s="12" t="s">
        <x:v>28</x:v>
      </x:c>
      <x:c r="M36" s="37">
        <x:v>2985.76</x:v>
      </x:c>
      <x:c r="N36" s="37">
        <x:v>187.14</x:v>
      </x:c>
      <x:c r="O36" s="36" t="n">
        <x:f t="shared" si="4">IF(OR(B36="",J36=""),"",J36-B36)</x:f>
        <x:v>6</x:v>
      </x:c>
      <x:c r="P36" s="36" t="n">
        <x:f t="shared" ca="1" si="5">IF(L36="Cancelado","",IF(L36="Entregue",IF(K36="","",MAX(0,K36-J36)),MAX(0,TODAY()-J36)))</x:f>
        <x:v>0</x:v>
      </x:c>
      <x:c r="Q36" s="12" t="str">
        <x:f t="shared" ca="1" si="6">IF(L36="Cancelado","Cancelado",IF(L36="Entregue",IF(P36&gt;0,"Entregue com atraso","Entregue no prazo"),IF(P36&gt;0,"Atrasado","Dentro do prazo")))</x:f>
        <x:v>Entregue no prazo</x:v>
      </x:c>
      <x:c r="R36" s="37" t="n">
        <x:f t="shared" ca="1" si="7">IF(OR(M36="",N36=""),"",ROUND(M36+N36,2))</x:f>
        <x:v>3172.9</x:v>
      </x:c>
      <x:c r="S36" s="37" t="n">
        <x:f t="shared" si="8">IF(OR(I36="",R36=""),"",ROUND(I36-R36,2))</x:f>
        <x:v>1326.6</x:v>
      </x:c>
    </x:row>
    <x:row r="37">
      <x:c r="A37" s="12" t="s">
        <x:v>190</x:v>
      </x:c>
      <x:c r="B37" s="34">
        <x:v>46210</x:v>
      </x:c>
      <x:c r="C37" s="12" t="s">
        <x:v>134</x:v>
      </x:c>
      <x:c r="D37" s="12" t="s">
        <x:v>147</x:v>
      </x:c>
      <x:c r="E37" s="12">
        <x:v>5</x:v>
      </x:c>
      <x:c r="F37" s="37">
        <x:v>459.9</x:v>
      </x:c>
      <x:c r="G37" s="38">
        <x:v>0.05</x:v>
      </x:c>
      <x:c r="H37" s="37">
        <x:v>2299.5</x:v>
      </x:c>
      <x:c r="I37" s="37">
        <x:v>2184.5300000000002</x:v>
      </x:c>
      <x:c r="J37" s="34">
        <x:v>46222</x:v>
      </x:c>
      <x:c r="K37" s="34">
        <x:v>46219</x:v>
      </x:c>
      <x:c r="L37" s="12" t="s">
        <x:v>28</x:v>
      </x:c>
      <x:c r="M37" s="37">
        <x:v>1386.67</x:v>
      </x:c>
      <x:c r="N37" s="37">
        <x:v>144.54</x:v>
      </x:c>
      <x:c r="O37" s="36" t="n">
        <x:f t="shared" si="4">IF(OR(B37="",J37=""),"",J37-B37)</x:f>
        <x:v>12</x:v>
      </x:c>
      <x:c r="P37" s="36" t="n">
        <x:f t="shared" ca="1" si="5">IF(L37="Cancelado","",IF(L37="Entregue",IF(K37="","",MAX(0,K37-J37)),MAX(0,TODAY()-J37)))</x:f>
        <x:v>0</x:v>
      </x:c>
      <x:c r="Q37" s="12" t="str">
        <x:f t="shared" ca="1" si="6">IF(L37="Cancelado","Cancelado",IF(L37="Entregue",IF(P37&gt;0,"Entregue com atraso","Entregue no prazo"),IF(P37&gt;0,"Atrasado","Dentro do prazo")))</x:f>
        <x:v>Entregue no prazo</x:v>
      </x:c>
      <x:c r="R37" s="37" t="n">
        <x:f t="shared" ca="1" si="7">IF(OR(M37="",N37=""),"",ROUND(M37+N37,2))</x:f>
        <x:v>1531.21</x:v>
      </x:c>
      <x:c r="S37" s="37" t="n">
        <x:f t="shared" si="8">IF(OR(I37="",R37=""),"",ROUND(I37-R37,2))</x:f>
        <x:v>653.32</x:v>
      </x:c>
    </x:row>
    <x:row r="38">
      <x:c r="A38" s="12" t="s">
        <x:v>191</x:v>
      </x:c>
      <x:c r="B38" s="34">
        <x:v>46097</x:v>
      </x:c>
      <x:c r="C38" s="12" t="s">
        <x:v>79</x:v>
      </x:c>
      <x:c r="D38" s="12" t="s">
        <x:v>66</x:v>
      </x:c>
      <x:c r="E38" s="12">
        <x:v>6</x:v>
      </x:c>
      <x:c r="F38" s="37">
        <x:v>389.9</x:v>
      </x:c>
      <x:c r="G38" s="38">
        <x:v>0</x:v>
      </x:c>
      <x:c r="H38" s="37">
        <x:v>2339.4</x:v>
      </x:c>
      <x:c r="I38" s="37">
        <x:v>2339.4</x:v>
      </x:c>
      <x:c r="J38" s="34">
        <x:v>46112</x:v>
      </x:c>
      <x:c r="K38" s="34"/>
      <x:c r="L38" s="12" t="s">
        <x:v>29</x:v>
      </x:c>
      <x:c r="M38" s="37">
        <x:v>1510.91</x:v>
      </x:c>
      <x:c r="N38" s="37">
        <x:v>148.83000000000001</x:v>
      </x:c>
      <x:c r="O38" s="36" t="n">
        <x:f t="shared" si="4">IF(OR(B38="",J38=""),"",J38-B38)</x:f>
        <x:v>15</x:v>
      </x:c>
      <x:c r="P38" s="36" t="str">
        <x:f t="shared" ca="1" si="5">IF(L38="Cancelado","",IF(L38="Entregue",IF(K38="","",MAX(0,K38-J38)),MAX(0,TODAY()-J38)))</x:f>
      </x:c>
      <x:c r="Q38" s="12" t="str">
        <x:f t="shared" ca="1" si="6">IF(L38="Cancelado","Cancelado",IF(L38="Entregue",IF(P38&gt;0,"Entregue com atraso","Entregue no prazo"),IF(P38&gt;0,"Atrasado","Dentro do prazo")))</x:f>
        <x:v>Cancelado</x:v>
      </x:c>
      <x:c r="R38" s="37" t="n">
        <x:f t="shared" ca="1" si="7">IF(OR(M38="",N38=""),"",ROUND(M38+N38,2))</x:f>
        <x:v>1659.74</x:v>
      </x:c>
      <x:c r="S38" s="37" t="n">
        <x:f t="shared" si="8">IF(OR(I38="",R38=""),"",ROUND(I38-R38,2))</x:f>
        <x:v>679.66</x:v>
      </x:c>
    </x:row>
    <x:row r="39">
      <x:c r="A39" s="12" t="s">
        <x:v>192</x:v>
      </x:c>
      <x:c r="B39" s="34">
        <x:v>46207</x:v>
      </x:c>
      <x:c r="C39" s="12" t="s">
        <x:v>193</x:v>
      </x:c>
      <x:c r="D39" s="12" t="s">
        <x:v>76</x:v>
      </x:c>
      <x:c r="E39" s="12">
        <x:v>1</x:v>
      </x:c>
      <x:c r="F39" s="37">
        <x:v>689.9</x:v>
      </x:c>
      <x:c r="G39" s="38">
        <x:v>0</x:v>
      </x:c>
      <x:c r="H39" s="37">
        <x:v>689.9</x:v>
      </x:c>
      <x:c r="I39" s="37">
        <x:v>689.9</x:v>
      </x:c>
      <x:c r="J39" s="34">
        <x:v>46213</x:v>
      </x:c>
      <x:c r="K39" s="34"/>
      <x:c r="L39" s="12" t="s">
        <x:v>27</x:v>
      </x:c>
      <x:c r="M39" s="37">
        <x:v>504.02</x:v>
      </x:c>
      <x:c r="N39" s="37">
        <x:v>80.03</x:v>
      </x:c>
      <x:c r="O39" s="36" t="n">
        <x:f t="shared" si="4">IF(OR(B39="",J39=""),"",J39-B39)</x:f>
        <x:v>6</x:v>
      </x:c>
      <x:c r="P39" s="36" t="n">
        <x:f t="shared" ca="1" si="5">IF(L39="Cancelado","",IF(L39="Entregue",IF(K39="","",MAX(0,K39-J39)),MAX(0,TODAY()-J39)))</x:f>
        <x:v>67</x:v>
      </x:c>
      <x:c r="Q39" s="12" t="str">
        <x:f t="shared" ca="1" si="6">IF(L39="Cancelado","Cancelado",IF(L39="Entregue",IF(P39&gt;0,"Entregue com atraso","Entregue no prazo"),IF(P39&gt;0,"Atrasado","Dentro do prazo")))</x:f>
        <x:v>Atrasado</x:v>
      </x:c>
      <x:c r="R39" s="37" t="n">
        <x:f t="shared" ca="1" si="7">IF(OR(M39="",N39=""),"",ROUND(M39+N39,2))</x:f>
        <x:v>584.05</x:v>
      </x:c>
      <x:c r="S39" s="37" t="n">
        <x:f t="shared" si="8">IF(OR(I39="",R39=""),"",ROUND(I39-R39,2))</x:f>
        <x:v>105.85</x:v>
      </x:c>
    </x:row>
    <x:row r="40">
      <x:c r="A40" s="12" t="s">
        <x:v>195</x:v>
      </x:c>
      <x:c r="B40" s="34">
        <x:v>46036</x:v>
      </x:c>
      <x:c r="C40" s="12" t="s">
        <x:v>96</x:v>
      </x:c>
      <x:c r="D40" s="12" t="s">
        <x:v>196</x:v>
      </x:c>
      <x:c r="E40" s="12">
        <x:v>3</x:v>
      </x:c>
      <x:c r="F40" s="37">
        <x:v>1199.9000000000001</x:v>
      </x:c>
      <x:c r="G40" s="38">
        <x:v>0.03</x:v>
      </x:c>
      <x:c r="H40" s="37">
        <x:v>3599.7</x:v>
      </x:c>
      <x:c r="I40" s="37">
        <x:v>3491.71</x:v>
      </x:c>
      <x:c r="J40" s="34">
        <x:v>46043</x:v>
      </x:c>
      <x:c r="K40" s="34">
        <x:v>46043</x:v>
      </x:c>
      <x:c r="L40" s="12" t="s">
        <x:v>28</x:v>
      </x:c>
      <x:c r="M40" s="37">
        <x:v>2667.1</x:v>
      </x:c>
      <x:c r="N40" s="37">
        <x:v>232.09</x:v>
      </x:c>
      <x:c r="O40" s="36" t="n">
        <x:f t="shared" si="4">IF(OR(B40="",J40=""),"",J40-B40)</x:f>
        <x:v>7</x:v>
      </x:c>
      <x:c r="P40" s="36" t="n">
        <x:f t="shared" ca="1" si="5">IF(L40="Cancelado","",IF(L40="Entregue",IF(K40="","",MAX(0,K40-J40)),MAX(0,TODAY()-J40)))</x:f>
        <x:v>0</x:v>
      </x:c>
      <x:c r="Q40" s="12" t="str">
        <x:f t="shared" ca="1" si="6">IF(L40="Cancelado","Cancelado",IF(L40="Entregue",IF(P40&gt;0,"Entregue com atraso","Entregue no prazo"),IF(P40&gt;0,"Atrasado","Dentro do prazo")))</x:f>
        <x:v>Entregue no prazo</x:v>
      </x:c>
      <x:c r="R40" s="37" t="n">
        <x:f t="shared" ca="1" si="7">IF(OR(M40="",N40=""),"",ROUND(M40+N40,2))</x:f>
        <x:v>2899.19</x:v>
      </x:c>
      <x:c r="S40" s="37" t="n">
        <x:f t="shared" si="8">IF(OR(I40="",R40=""),"",ROUND(I40-R40,2))</x:f>
        <x:v>592.52</x:v>
      </x:c>
    </x:row>
    <x:row r="41">
      <x:c r="A41" s="12" t="s">
        <x:v>198</x:v>
      </x:c>
      <x:c r="B41" s="34">
        <x:v>46247</x:v>
      </x:c>
      <x:c r="C41" s="12" t="s">
        <x:v>79</x:v>
      </x:c>
      <x:c r="D41" s="12" t="s">
        <x:v>196</x:v>
      </x:c>
      <x:c r="E41" s="12">
        <x:v>4</x:v>
      </x:c>
      <x:c r="F41" s="37">
        <x:v>1199.9000000000001</x:v>
      </x:c>
      <x:c r="G41" s="38">
        <x:v>0.08</x:v>
      </x:c>
      <x:c r="H41" s="37">
        <x:v>4799.6000000000004</x:v>
      </x:c>
      <x:c r="I41" s="37">
        <x:v>4415.63</x:v>
      </x:c>
      <x:c r="J41" s="34">
        <x:v>46255</x:v>
      </x:c>
      <x:c r="K41" s="34">
        <x:v>46255</x:v>
      </x:c>
      <x:c r="L41" s="12" t="s">
        <x:v>28</x:v>
      </x:c>
      <x:c r="M41" s="37">
        <x:v>3288.84</x:v>
      </x:c>
      <x:c r="N41" s="37">
        <x:v>252.77</x:v>
      </x:c>
      <x:c r="O41" s="36" t="n">
        <x:f t="shared" si="4">IF(OR(B41="",J41=""),"",J41-B41)</x:f>
        <x:v>8</x:v>
      </x:c>
      <x:c r="P41" s="36" t="n">
        <x:f t="shared" ca="1" si="5">IF(L41="Cancelado","",IF(L41="Entregue",IF(K41="","",MAX(0,K41-J41)),MAX(0,TODAY()-J41)))</x:f>
        <x:v>0</x:v>
      </x:c>
      <x:c r="Q41" s="12" t="str">
        <x:f t="shared" ca="1" si="6">IF(L41="Cancelado","Cancelado",IF(L41="Entregue",IF(P41&gt;0,"Entregue com atraso","Entregue no prazo"),IF(P41&gt;0,"Atrasado","Dentro do prazo")))</x:f>
        <x:v>Entregue no prazo</x:v>
      </x:c>
      <x:c r="R41" s="37" t="n">
        <x:f t="shared" ca="1" si="7">IF(OR(M41="",N41=""),"",ROUND(M41+N41,2))</x:f>
        <x:v>3541.61</x:v>
      </x:c>
      <x:c r="S41" s="37" t="n">
        <x:f t="shared" si="8">IF(OR(I41="",R41=""),"",ROUND(I41-R41,2))</x:f>
        <x:v>874.02</x:v>
      </x:c>
    </x:row>
    <x:row r="42">
      <x:c r="A42" s="12" t="s">
        <x:v>199</x:v>
      </x:c>
      <x:c r="B42" s="34">
        <x:v>46131</x:v>
      </x:c>
      <x:c r="C42" s="12" t="s">
        <x:v>200</x:v>
      </x:c>
      <x:c r="D42" s="12" t="s">
        <x:v>131</x:v>
      </x:c>
      <x:c r="E42" s="12">
        <x:v>4</x:v>
      </x:c>
      <x:c r="F42" s="37">
        <x:v>899.9</x:v>
      </x:c>
      <x:c r="G42" s="38">
        <x:v>0</x:v>
      </x:c>
      <x:c r="H42" s="37">
        <x:v>3599.6</x:v>
      </x:c>
      <x:c r="I42" s="37">
        <x:v>3599.6</x:v>
      </x:c>
      <x:c r="J42" s="34">
        <x:v>46138</x:v>
      </x:c>
      <x:c r="K42" s="34"/>
      <x:c r="L42" s="12" t="s">
        <x:v>27</x:v>
      </x:c>
      <x:c r="M42" s="37">
        <x:v>2246.0300000000002</x:v>
      </x:c>
      <x:c r="N42" s="37">
        <x:v>218.09</x:v>
      </x:c>
      <x:c r="O42" s="36" t="n">
        <x:f t="shared" si="4">IF(OR(B42="",J42=""),"",J42-B42)</x:f>
        <x:v>7</x:v>
      </x:c>
      <x:c r="P42" s="36" t="n">
        <x:f t="shared" ca="1" si="5">IF(L42="Cancelado","",IF(L42="Entregue",IF(K42="","",MAX(0,K42-J42)),MAX(0,TODAY()-J42)))</x:f>
        <x:v>142</x:v>
      </x:c>
      <x:c r="Q42" s="12" t="str">
        <x:f t="shared" ca="1" si="6">IF(L42="Cancelado","Cancelado",IF(L42="Entregue",IF(P42&gt;0,"Entregue com atraso","Entregue no prazo"),IF(P42&gt;0,"Atrasado","Dentro do prazo")))</x:f>
        <x:v>Atrasado</x:v>
      </x:c>
      <x:c r="R42" s="37" t="n">
        <x:f t="shared" ca="1" si="7">IF(OR(M42="",N42=""),"",ROUND(M42+N42,2))</x:f>
        <x:v>2464.12</x:v>
      </x:c>
      <x:c r="S42" s="37" t="n">
        <x:f t="shared" si="8">IF(OR(I42="",R42=""),"",ROUND(I42-R42,2))</x:f>
        <x:v>1135.48</x:v>
      </x:c>
    </x:row>
    <x:row r="43">
      <x:c r="A43" s="12" t="s">
        <x:v>202</x:v>
      </x:c>
      <x:c r="B43" s="34">
        <x:v>46112</x:v>
      </x:c>
      <x:c r="C43" s="12" t="s">
        <x:v>64</x:v>
      </x:c>
      <x:c r="D43" s="12" t="s">
        <x:v>156</x:v>
      </x:c>
      <x:c r="E43" s="12">
        <x:v>4</x:v>
      </x:c>
      <x:c r="F43" s="37">
        <x:v>849.9</x:v>
      </x:c>
      <x:c r="G43" s="38">
        <x:v>0</x:v>
      </x:c>
      <x:c r="H43" s="37">
        <x:v>3399.6</x:v>
      </x:c>
      <x:c r="I43" s="37">
        <x:v>3399.6</x:v>
      </x:c>
      <x:c r="J43" s="34">
        <x:v>46119</x:v>
      </x:c>
      <x:c r="K43" s="34">
        <x:v>46117</x:v>
      </x:c>
      <x:c r="L43" s="12" t="s">
        <x:v>28</x:v>
      </x:c>
      <x:c r="M43" s="37">
        <x:v>2315.83</x:v>
      </x:c>
      <x:c r="N43" s="37">
        <x:v>54.1</x:v>
      </x:c>
      <x:c r="O43" s="36" t="n">
        <x:f t="shared" si="4">IF(OR(B43="",J43=""),"",J43-B43)</x:f>
        <x:v>7</x:v>
      </x:c>
      <x:c r="P43" s="36" t="n">
        <x:f t="shared" ca="1" si="5">IF(L43="Cancelado","",IF(L43="Entregue",IF(K43="","",MAX(0,K43-J43)),MAX(0,TODAY()-J43)))</x:f>
        <x:v>0</x:v>
      </x:c>
      <x:c r="Q43" s="12" t="str">
        <x:f t="shared" ca="1" si="6">IF(L43="Cancelado","Cancelado",IF(L43="Entregue",IF(P43&gt;0,"Entregue com atraso","Entregue no prazo"),IF(P43&gt;0,"Atrasado","Dentro do prazo")))</x:f>
        <x:v>Entregue no prazo</x:v>
      </x:c>
      <x:c r="R43" s="37" t="n">
        <x:f t="shared" ca="1" si="7">IF(OR(M43="",N43=""),"",ROUND(M43+N43,2))</x:f>
        <x:v>2369.93</x:v>
      </x:c>
      <x:c r="S43" s="37" t="n">
        <x:f t="shared" si="8">IF(OR(I43="",R43=""),"",ROUND(I43-R43,2))</x:f>
        <x:v>1029.67</x:v>
      </x:c>
    </x:row>
    <x:row r="44">
      <x:c r="A44" s="12" t="s">
        <x:v>203</x:v>
      </x:c>
      <x:c r="B44" s="34">
        <x:v>46147</x:v>
      </x:c>
      <x:c r="C44" s="12" t="s">
        <x:v>137</x:v>
      </x:c>
      <x:c r="D44" s="12" t="s">
        <x:v>147</x:v>
      </x:c>
      <x:c r="E44" s="12">
        <x:v>8</x:v>
      </x:c>
      <x:c r="F44" s="37">
        <x:v>459.9</x:v>
      </x:c>
      <x:c r="G44" s="38">
        <x:v>0</x:v>
      </x:c>
      <x:c r="H44" s="37">
        <x:v>3679.2</x:v>
      </x:c>
      <x:c r="I44" s="37">
        <x:v>3679.2</x:v>
      </x:c>
      <x:c r="J44" s="34">
        <x:v>46156</x:v>
      </x:c>
      <x:c r="K44" s="34"/>
      <x:c r="L44" s="12" t="s">
        <x:v>27</x:v>
      </x:c>
      <x:c r="M44" s="37">
        <x:v>2794.03</x:v>
      </x:c>
      <x:c r="N44" s="37">
        <x:v>97.39</x:v>
      </x:c>
      <x:c r="O44" s="36" t="n">
        <x:f t="shared" si="4">IF(OR(B44="",J44=""),"",J44-B44)</x:f>
        <x:v>9</x:v>
      </x:c>
      <x:c r="P44" s="36" t="n">
        <x:f t="shared" ca="1" si="5">IF(L44="Cancelado","",IF(L44="Entregue",IF(K44="","",MAX(0,K44-J44)),MAX(0,TODAY()-J44)))</x:f>
        <x:v>124</x:v>
      </x:c>
      <x:c r="Q44" s="12" t="str">
        <x:f t="shared" ca="1" si="6">IF(L44="Cancelado","Cancelado",IF(L44="Entregue",IF(P44&gt;0,"Entregue com atraso","Entregue no prazo"),IF(P44&gt;0,"Atrasado","Dentro do prazo")))</x:f>
        <x:v>Atrasado</x:v>
      </x:c>
      <x:c r="R44" s="37" t="n">
        <x:f t="shared" ca="1" si="7">IF(OR(M44="",N44=""),"",ROUND(M44+N44,2))</x:f>
        <x:v>2891.42</x:v>
      </x:c>
      <x:c r="S44" s="37" t="n">
        <x:f t="shared" si="8">IF(OR(I44="",R44=""),"",ROUND(I44-R44,2))</x:f>
        <x:v>787.78</x:v>
      </x:c>
    </x:row>
    <x:row r="45">
      <x:c r="A45" s="12" t="s">
        <x:v>204</x:v>
      </x:c>
      <x:c r="B45" s="34">
        <x:v>46195</x:v>
      </x:c>
      <x:c r="C45" s="12" t="s">
        <x:v>128</x:v>
      </x:c>
      <x:c r="D45" s="12" t="s">
        <x:v>72</x:v>
      </x:c>
      <x:c r="E45" s="12">
        <x:v>6</x:v>
      </x:c>
      <x:c r="F45" s="37">
        <x:v>1349.9</x:v>
      </x:c>
      <x:c r="G45" s="38">
        <x:v>0</x:v>
      </x:c>
      <x:c r="H45" s="37">
        <x:v>8099.4</x:v>
      </x:c>
      <x:c r="I45" s="37">
        <x:v>8099.4</x:v>
      </x:c>
      <x:c r="J45" s="34">
        <x:v>46201</x:v>
      </x:c>
      <x:c r="K45" s="34"/>
      <x:c r="L45" s="12" t="s">
        <x:v>29</x:v>
      </x:c>
      <x:c r="M45" s="37">
        <x:v>5383.35</x:v>
      </x:c>
      <x:c r="N45" s="37">
        <x:v>195.75</x:v>
      </x:c>
      <x:c r="O45" s="36" t="n">
        <x:f t="shared" si="4">IF(OR(B45="",J45=""),"",J45-B45)</x:f>
        <x:v>6</x:v>
      </x:c>
      <x:c r="P45" s="36" t="str">
        <x:f t="shared" ca="1" si="5">IF(L45="Cancelado","",IF(L45="Entregue",IF(K45="","",MAX(0,K45-J45)),MAX(0,TODAY()-J45)))</x:f>
      </x:c>
      <x:c r="Q45" s="12" t="str">
        <x:f t="shared" ca="1" si="6">IF(L45="Cancelado","Cancelado",IF(L45="Entregue",IF(P45&gt;0,"Entregue com atraso","Entregue no prazo"),IF(P45&gt;0,"Atrasado","Dentro do prazo")))</x:f>
        <x:v>Cancelado</x:v>
      </x:c>
      <x:c r="R45" s="37" t="n">
        <x:f t="shared" ca="1" si="7">IF(OR(M45="",N45=""),"",ROUND(M45+N45,2))</x:f>
        <x:v>5579.1</x:v>
      </x:c>
      <x:c r="S45" s="37" t="n">
        <x:f t="shared" si="8">IF(OR(I45="",R45=""),"",ROUND(I45-R45,2))</x:f>
        <x:v>2520.3</x:v>
      </x:c>
    </x:row>
    <x:row r="46">
      <x:c r="A46" s="12" t="s">
        <x:v>205</x:v>
      </x:c>
      <x:c r="B46" s="34">
        <x:v>46129</x:v>
      </x:c>
      <x:c r="C46" s="12" t="s">
        <x:v>206</x:v>
      </x:c>
      <x:c r="D46" s="12" t="s">
        <x:v>76</x:v>
      </x:c>
      <x:c r="E46" s="12">
        <x:v>6</x:v>
      </x:c>
      <x:c r="F46" s="37">
        <x:v>689.9</x:v>
      </x:c>
      <x:c r="G46" s="38">
        <x:v>0</x:v>
      </x:c>
      <x:c r="H46" s="37">
        <x:v>4139.3999999999996</x:v>
      </x:c>
      <x:c r="I46" s="37">
        <x:v>4139.3999999999996</x:v>
      </x:c>
      <x:c r="J46" s="34">
        <x:v>46135</x:v>
      </x:c>
      <x:c r="K46" s="34"/>
      <x:c r="L46" s="12" t="s">
        <x:v>27</x:v>
      </x:c>
      <x:c r="M46" s="37">
        <x:v>2739.43</x:v>
      </x:c>
      <x:c r="N46" s="37">
        <x:v>181.44</x:v>
      </x:c>
      <x:c r="O46" s="36" t="n">
        <x:f t="shared" si="4">IF(OR(B46="",J46=""),"",J46-B46)</x:f>
        <x:v>6</x:v>
      </x:c>
      <x:c r="P46" s="36" t="n">
        <x:f t="shared" ca="1" si="5">IF(L46="Cancelado","",IF(L46="Entregue",IF(K46="","",MAX(0,K46-J46)),MAX(0,TODAY()-J46)))</x:f>
        <x:v>145</x:v>
      </x:c>
      <x:c r="Q46" s="12" t="str">
        <x:f t="shared" ca="1" si="6">IF(L46="Cancelado","Cancelado",IF(L46="Entregue",IF(P46&gt;0,"Entregue com atraso","Entregue no prazo"),IF(P46&gt;0,"Atrasado","Dentro do prazo")))</x:f>
        <x:v>Atrasado</x:v>
      </x:c>
      <x:c r="R46" s="37" t="n">
        <x:f t="shared" ca="1" si="7">IF(OR(M46="",N46=""),"",ROUND(M46+N46,2))</x:f>
        <x:v>2920.87</x:v>
      </x:c>
      <x:c r="S46" s="37" t="n">
        <x:f t="shared" si="8">IF(OR(I46="",R46=""),"",ROUND(I46-R46,2))</x:f>
        <x:v>1218.53</x:v>
      </x:c>
    </x:row>
    <x:row r="47">
      <x:c r="A47" s="12" t="s">
        <x:v>208</x:v>
      </x:c>
      <x:c r="B47" s="34">
        <x:v>46094</x:v>
      </x:c>
      <x:c r="C47" s="12" t="s">
        <x:v>79</x:v>
      </x:c>
      <x:c r="D47" s="12" t="s">
        <x:v>159</x:v>
      </x:c>
      <x:c r="E47" s="12">
        <x:v>7</x:v>
      </x:c>
      <x:c r="F47" s="37">
        <x:v>329.9</x:v>
      </x:c>
      <x:c r="G47" s="38">
        <x:v>0</x:v>
      </x:c>
      <x:c r="H47" s="37">
        <x:v>2309.3000000000002</x:v>
      </x:c>
      <x:c r="I47" s="37">
        <x:v>2309.3000000000002</x:v>
      </x:c>
      <x:c r="J47" s="34">
        <x:v>46104</x:v>
      </x:c>
      <x:c r="K47" s="34">
        <x:v>46107</x:v>
      </x:c>
      <x:c r="L47" s="12" t="s">
        <x:v>28</x:v>
      </x:c>
      <x:c r="M47" s="37">
        <x:v>1474.5</x:v>
      </x:c>
      <x:c r="N47" s="37">
        <x:v>256.38</x:v>
      </x:c>
      <x:c r="O47" s="36" t="n">
        <x:f t="shared" si="4">IF(OR(B47="",J47=""),"",J47-B47)</x:f>
        <x:v>10</x:v>
      </x:c>
      <x:c r="P47" s="36" t="n">
        <x:f t="shared" ca="1" si="5">IF(L47="Cancelado","",IF(L47="Entregue",IF(K47="","",MAX(0,K47-J47)),MAX(0,TODAY()-J47)))</x:f>
        <x:v>3</x:v>
      </x:c>
      <x:c r="Q47" s="12" t="str">
        <x:f t="shared" ca="1" si="6">IF(L47="Cancelado","Cancelado",IF(L47="Entregue",IF(P47&gt;0,"Entregue com atraso","Entregue no prazo"),IF(P47&gt;0,"Atrasado","Dentro do prazo")))</x:f>
        <x:v>Entregue com atraso</x:v>
      </x:c>
      <x:c r="R47" s="37" t="n">
        <x:f t="shared" ca="1" si="7">IF(OR(M47="",N47=""),"",ROUND(M47+N47,2))</x:f>
        <x:v>1730.88</x:v>
      </x:c>
      <x:c r="S47" s="37" t="n">
        <x:f t="shared" si="8">IF(OR(I47="",R47=""),"",ROUND(I47-R47,2))</x:f>
        <x:v>578.42</x:v>
      </x:c>
    </x:row>
    <x:row r="48">
      <x:c r="A48" s="12" t="s">
        <x:v>209</x:v>
      </x:c>
      <x:c r="B48" s="34">
        <x:v>46075</x:v>
      </x:c>
      <x:c r="C48" s="12" t="s">
        <x:v>210</x:v>
      </x:c>
      <x:c r="D48" s="12" t="s">
        <x:v>98</x:v>
      </x:c>
      <x:c r="E48" s="12">
        <x:v>7</x:v>
      </x:c>
      <x:c r="F48" s="37">
        <x:v>749.9</x:v>
      </x:c>
      <x:c r="G48" s="38">
        <x:v>0</x:v>
      </x:c>
      <x:c r="H48" s="37">
        <x:v>5249.3</x:v>
      </x:c>
      <x:c r="I48" s="37">
        <x:v>5249.3</x:v>
      </x:c>
      <x:c r="J48" s="34">
        <x:v>46088</x:v>
      </x:c>
      <x:c r="K48" s="34"/>
      <x:c r="L48" s="12" t="s">
        <x:v>27</x:v>
      </x:c>
      <x:c r="M48" s="37">
        <x:v>3706.81</x:v>
      </x:c>
      <x:c r="N48" s="37">
        <x:v>214.07</x:v>
      </x:c>
      <x:c r="O48" s="36" t="n">
        <x:f t="shared" si="4">IF(OR(B48="",J48=""),"",J48-B48)</x:f>
        <x:v>13</x:v>
      </x:c>
      <x:c r="P48" s="36" t="n">
        <x:f t="shared" ca="1" si="5">IF(L48="Cancelado","",IF(L48="Entregue",IF(K48="","",MAX(0,K48-J48)),MAX(0,TODAY()-J48)))</x:f>
        <x:v>192</x:v>
      </x:c>
      <x:c r="Q48" s="12" t="str">
        <x:f t="shared" ca="1" si="6">IF(L48="Cancelado","Cancelado",IF(L48="Entregue",IF(P48&gt;0,"Entregue com atraso","Entregue no prazo"),IF(P48&gt;0,"Atrasado","Dentro do prazo")))</x:f>
        <x:v>Atrasado</x:v>
      </x:c>
      <x:c r="R48" s="37" t="n">
        <x:f t="shared" ca="1" si="7">IF(OR(M48="",N48=""),"",ROUND(M48+N48,2))</x:f>
        <x:v>3920.88</x:v>
      </x:c>
      <x:c r="S48" s="37" t="n">
        <x:f t="shared" si="8">IF(OR(I48="",R48=""),"",ROUND(I48-R48,2))</x:f>
        <x:v>1328.42</x:v>
      </x:c>
    </x:row>
    <x:row r="49">
      <x:c r="A49" s="12" t="s">
        <x:v>212</x:v>
      </x:c>
      <x:c r="B49" s="34">
        <x:v>46216</x:v>
      </x:c>
      <x:c r="C49" s="12" t="s">
        <x:v>107</x:v>
      </x:c>
      <x:c r="D49" s="12" t="s">
        <x:v>147</x:v>
      </x:c>
      <x:c r="E49" s="12">
        <x:v>6</x:v>
      </x:c>
      <x:c r="F49" s="37">
        <x:v>459.9</x:v>
      </x:c>
      <x:c r="G49" s="38">
        <x:v>0.03</x:v>
      </x:c>
      <x:c r="H49" s="37">
        <x:v>2759.4</x:v>
      </x:c>
      <x:c r="I49" s="37">
        <x:v>2676.62</x:v>
      </x:c>
      <x:c r="J49" s="34">
        <x:v>46222</x:v>
      </x:c>
      <x:c r="K49" s="34"/>
      <x:c r="L49" s="12" t="s">
        <x:v>27</x:v>
      </x:c>
      <x:c r="M49" s="37">
        <x:v>2053.83</x:v>
      </x:c>
      <x:c r="N49" s="37">
        <x:v>191.44</x:v>
      </x:c>
      <x:c r="O49" s="36" t="n">
        <x:f t="shared" si="4">IF(OR(B49="",J49=""),"",J49-B49)</x:f>
        <x:v>6</x:v>
      </x:c>
      <x:c r="P49" s="36" t="n">
        <x:f t="shared" ca="1" si="5">IF(L49="Cancelado","",IF(L49="Entregue",IF(K49="","",MAX(0,K49-J49)),MAX(0,TODAY()-J49)))</x:f>
        <x:v>58</x:v>
      </x:c>
      <x:c r="Q49" s="12" t="str">
        <x:f t="shared" ca="1" si="6">IF(L49="Cancelado","Cancelado",IF(L49="Entregue",IF(P49&gt;0,"Entregue com atraso","Entregue no prazo"),IF(P49&gt;0,"Atrasado","Dentro do prazo")))</x:f>
        <x:v>Atrasado</x:v>
      </x:c>
      <x:c r="R49" s="37" t="n">
        <x:f t="shared" ca="1" si="7">IF(OR(M49="",N49=""),"",ROUND(M49+N49,2))</x:f>
        <x:v>2245.27</x:v>
      </x:c>
      <x:c r="S49" s="37" t="n">
        <x:f t="shared" si="8">IF(OR(I49="",R49=""),"",ROUND(I49-R49,2))</x:f>
        <x:v>431.35</x:v>
      </x:c>
    </x:row>
    <x:row r="50">
      <x:c r="A50" s="12" t="s">
        <x:v>213</x:v>
      </x:c>
      <x:c r="B50" s="34">
        <x:v>46196</x:v>
      </x:c>
      <x:c r="C50" s="12" t="s">
        <x:v>162</x:v>
      </x:c>
      <x:c r="D50" s="12" t="s">
        <x:v>159</x:v>
      </x:c>
      <x:c r="E50" s="12">
        <x:v>5</x:v>
      </x:c>
      <x:c r="F50" s="37">
        <x:v>329.9</x:v>
      </x:c>
      <x:c r="G50" s="38">
        <x:v>0.05</x:v>
      </x:c>
      <x:c r="H50" s="37">
        <x:v>1649.5</x:v>
      </x:c>
      <x:c r="I50" s="37">
        <x:v>1567.02</x:v>
      </x:c>
      <x:c r="J50" s="34">
        <x:v>46205</x:v>
      </x:c>
      <x:c r="K50" s="34">
        <x:v>46205</x:v>
      </x:c>
      <x:c r="L50" s="12" t="s">
        <x:v>28</x:v>
      </x:c>
      <x:c r="M50" s="37">
        <x:v>1072.44</x:v>
      </x:c>
      <x:c r="N50" s="37">
        <x:v>114.48</x:v>
      </x:c>
      <x:c r="O50" s="36" t="n">
        <x:f t="shared" si="4">IF(OR(B50="",J50=""),"",J50-B50)</x:f>
        <x:v>9</x:v>
      </x:c>
      <x:c r="P50" s="36" t="n">
        <x:f t="shared" ca="1" si="5">IF(L50="Cancelado","",IF(L50="Entregue",IF(K50="","",MAX(0,K50-J50)),MAX(0,TODAY()-J50)))</x:f>
        <x:v>0</x:v>
      </x:c>
      <x:c r="Q50" s="12" t="str">
        <x:f t="shared" ca="1" si="6">IF(L50="Cancelado","Cancelado",IF(L50="Entregue",IF(P50&gt;0,"Entregue com atraso","Entregue no prazo"),IF(P50&gt;0,"Atrasado","Dentro do prazo")))</x:f>
        <x:v>Entregue no prazo</x:v>
      </x:c>
      <x:c r="R50" s="37" t="n">
        <x:f t="shared" ca="1" si="7">IF(OR(M50="",N50=""),"",ROUND(M50+N50,2))</x:f>
        <x:v>1186.92</x:v>
      </x:c>
      <x:c r="S50" s="37" t="n">
        <x:f t="shared" si="8">IF(OR(I50="",R50=""),"",ROUND(I50-R50,2))</x:f>
        <x:v>380.1</x:v>
      </x:c>
    </x:row>
    <x:row r="51">
      <x:c r="A51" s="12" t="s">
        <x:v>214</x:v>
      </x:c>
      <x:c r="B51" s="34">
        <x:v>46059</x:v>
      </x:c>
      <x:c r="C51" s="12" t="s">
        <x:v>128</x:v>
      </x:c>
      <x:c r="D51" s="12" t="s">
        <x:v>156</x:v>
      </x:c>
      <x:c r="E51" s="12">
        <x:v>7</x:v>
      </x:c>
      <x:c r="F51" s="37">
        <x:v>849.9</x:v>
      </x:c>
      <x:c r="G51" s="38">
        <x:v>0.08</x:v>
      </x:c>
      <x:c r="H51" s="37">
        <x:v>5949.3</x:v>
      </x:c>
      <x:c r="I51" s="37">
        <x:v>5473.36</x:v>
      </x:c>
      <x:c r="J51" s="34">
        <x:v>46066</x:v>
      </x:c>
      <x:c r="K51" s="34">
        <x:v>46066</x:v>
      </x:c>
      <x:c r="L51" s="12" t="s">
        <x:v>28</x:v>
      </x:c>
      <x:c r="M51" s="37">
        <x:v>3749.1</x:v>
      </x:c>
      <x:c r="N51" s="37">
        <x:v>240.93</x:v>
      </x:c>
      <x:c r="O51" s="36" t="n">
        <x:f t="shared" si="4">IF(OR(B51="",J51=""),"",J51-B51)</x:f>
        <x:v>7</x:v>
      </x:c>
      <x:c r="P51" s="36" t="n">
        <x:f t="shared" ca="1" si="5">IF(L51="Cancelado","",IF(L51="Entregue",IF(K51="","",MAX(0,K51-J51)),MAX(0,TODAY()-J51)))</x:f>
        <x:v>0</x:v>
      </x:c>
      <x:c r="Q51" s="12" t="str">
        <x:f t="shared" ca="1" si="6">IF(L51="Cancelado","Cancelado",IF(L51="Entregue",IF(P51&gt;0,"Entregue com atraso","Entregue no prazo"),IF(P51&gt;0,"Atrasado","Dentro do prazo")))</x:f>
        <x:v>Entregue no prazo</x:v>
      </x:c>
      <x:c r="R51" s="37" t="n">
        <x:f t="shared" ca="1" si="7">IF(OR(M51="",N51=""),"",ROUND(M51+N51,2))</x:f>
        <x:v>3990.03</x:v>
      </x:c>
      <x:c r="S51" s="37" t="n">
        <x:f t="shared" si="8">IF(OR(I51="",R51=""),"",ROUND(I51-R51,2))</x:f>
        <x:v>1483.33</x:v>
      </x:c>
    </x:row>
    <x:row r="52">
      <x:c r="A52" s="12" t="s">
        <x:v>215</x:v>
      </x:c>
      <x:c r="B52" s="34">
        <x:v>46104</x:v>
      </x:c>
      <x:c r="C52" s="12" t="s">
        <x:v>168</x:v>
      </x:c>
      <x:c r="D52" s="12" t="s">
        <x:v>147</x:v>
      </x:c>
      <x:c r="E52" s="12">
        <x:v>7</x:v>
      </x:c>
      <x:c r="F52" s="37">
        <x:v>459.9</x:v>
      </x:c>
      <x:c r="G52" s="38">
        <x:v>0.05</x:v>
      </x:c>
      <x:c r="H52" s="37">
        <x:v>3219.3</x:v>
      </x:c>
      <x:c r="I52" s="37">
        <x:v>3058.34</x:v>
      </x:c>
      <x:c r="J52" s="34">
        <x:v>46118</x:v>
      </x:c>
      <x:c r="K52" s="34">
        <x:v>46120</x:v>
      </x:c>
      <x:c r="L52" s="12" t="s">
        <x:v>28</x:v>
      </x:c>
      <x:c r="M52" s="37">
        <x:v>2112.35</x:v>
      </x:c>
      <x:c r="N52" s="37">
        <x:v>203.77</x:v>
      </x:c>
      <x:c r="O52" s="36" t="n">
        <x:f t="shared" si="4">IF(OR(B52="",J52=""),"",J52-B52)</x:f>
        <x:v>14</x:v>
      </x:c>
      <x:c r="P52" s="36" t="n">
        <x:f t="shared" ca="1" si="5">IF(L52="Cancelado","",IF(L52="Entregue",IF(K52="","",MAX(0,K52-J52)),MAX(0,TODAY()-J52)))</x:f>
        <x:v>2</x:v>
      </x:c>
      <x:c r="Q52" s="12" t="str">
        <x:f t="shared" ca="1" si="6">IF(L52="Cancelado","Cancelado",IF(L52="Entregue",IF(P52&gt;0,"Entregue com atraso","Entregue no prazo"),IF(P52&gt;0,"Atrasado","Dentro do prazo")))</x:f>
        <x:v>Entregue com atraso</x:v>
      </x:c>
      <x:c r="R52" s="37" t="n">
        <x:f t="shared" ca="1" si="7">IF(OR(M52="",N52=""),"",ROUND(M52+N52,2))</x:f>
        <x:v>2316.12</x:v>
      </x:c>
      <x:c r="S52" s="37" t="n">
        <x:f t="shared" si="8">IF(OR(I52="",R52=""),"",ROUND(I52-R52,2))</x:f>
        <x:v>742.22</x:v>
      </x:c>
    </x:row>
    <x:row r="53">
      <x:c r="A53" s="12" t="s">
        <x:v>216</x:v>
      </x:c>
      <x:c r="B53" s="34">
        <x:v>46157</x:v>
      </x:c>
      <x:c r="C53" s="12" t="s">
        <x:v>217</x:v>
      </x:c>
      <x:c r="D53" s="12" t="s">
        <x:v>88</x:v>
      </x:c>
      <x:c r="E53" s="12">
        <x:v>2</x:v>
      </x:c>
      <x:c r="F53" s="37">
        <x:v>649.9</x:v>
      </x:c>
      <x:c r="G53" s="38">
        <x:v>0</x:v>
      </x:c>
      <x:c r="H53" s="37">
        <x:v>1299.8</x:v>
      </x:c>
      <x:c r="I53" s="37">
        <x:v>1299.8</x:v>
      </x:c>
      <x:c r="J53" s="34">
        <x:v>46170</x:v>
      </x:c>
      <x:c r="K53" s="34">
        <x:v>46175</x:v>
      </x:c>
      <x:c r="L53" s="12" t="s">
        <x:v>28</x:v>
      </x:c>
      <x:c r="M53" s="37">
        <x:v>875.58</x:v>
      </x:c>
      <x:c r="N53" s="37">
        <x:v>237.33</x:v>
      </x:c>
      <x:c r="O53" s="36" t="n">
        <x:f t="shared" si="4">IF(OR(B53="",J53=""),"",J53-B53)</x:f>
        <x:v>13</x:v>
      </x:c>
      <x:c r="P53" s="36" t="n">
        <x:f t="shared" ca="1" si="5">IF(L53="Cancelado","",IF(L53="Entregue",IF(K53="","",MAX(0,K53-J53)),MAX(0,TODAY()-J53)))</x:f>
        <x:v>5</x:v>
      </x:c>
      <x:c r="Q53" s="12" t="str">
        <x:f t="shared" ca="1" si="6">IF(L53="Cancelado","Cancelado",IF(L53="Entregue",IF(P53&gt;0,"Entregue com atraso","Entregue no prazo"),IF(P53&gt;0,"Atrasado","Dentro do prazo")))</x:f>
        <x:v>Entregue com atraso</x:v>
      </x:c>
      <x:c r="R53" s="37" t="n">
        <x:f t="shared" ca="1" si="7">IF(OR(M53="",N53=""),"",ROUND(M53+N53,2))</x:f>
        <x:v>1112.91</x:v>
      </x:c>
      <x:c r="S53" s="37" t="n">
        <x:f t="shared" si="8">IF(OR(I53="",R53=""),"",ROUND(I53-R53,2))</x:f>
        <x:v>186.89</x:v>
      </x:c>
    </x:row>
    <x:row r="54">
      <x:c r="A54" s="12" t="s">
        <x:v>219</x:v>
      </x:c>
      <x:c r="B54" s="34">
        <x:v>46219</x:v>
      </x:c>
      <x:c r="C54" s="12" t="s">
        <x:v>137</x:v>
      </x:c>
      <x:c r="D54" s="12" t="s">
        <x:v>182</x:v>
      </x:c>
      <x:c r="E54" s="12">
        <x:v>4</x:v>
      </x:c>
      <x:c r="F54" s="37">
        <x:v>1099.9000000000001</x:v>
      </x:c>
      <x:c r="G54" s="38">
        <x:v>0</x:v>
      </x:c>
      <x:c r="H54" s="37">
        <x:v>4399.6000000000004</x:v>
      </x:c>
      <x:c r="I54" s="37">
        <x:v>4399.6000000000004</x:v>
      </x:c>
      <x:c r="J54" s="34">
        <x:v>46226</x:v>
      </x:c>
      <x:c r="K54" s="34">
        <x:v>46226</x:v>
      </x:c>
      <x:c r="L54" s="12" t="s">
        <x:v>28</x:v>
      </x:c>
      <x:c r="M54" s="37">
        <x:v>3420.38</x:v>
      </x:c>
      <x:c r="N54" s="37">
        <x:v>188.65</x:v>
      </x:c>
      <x:c r="O54" s="36" t="n">
        <x:f t="shared" si="4">IF(OR(B54="",J54=""),"",J54-B54)</x:f>
        <x:v>7</x:v>
      </x:c>
      <x:c r="P54" s="36" t="n">
        <x:f t="shared" ca="1" si="5">IF(L54="Cancelado","",IF(L54="Entregue",IF(K54="","",MAX(0,K54-J54)),MAX(0,TODAY()-J54)))</x:f>
        <x:v>0</x:v>
      </x:c>
      <x:c r="Q54" s="12" t="str">
        <x:f t="shared" ca="1" si="6">IF(L54="Cancelado","Cancelado",IF(L54="Entregue",IF(P54&gt;0,"Entregue com atraso","Entregue no prazo"),IF(P54&gt;0,"Atrasado","Dentro do prazo")))</x:f>
        <x:v>Entregue no prazo</x:v>
      </x:c>
      <x:c r="R54" s="37" t="n">
        <x:f t="shared" ca="1" si="7">IF(OR(M54="",N54=""),"",ROUND(M54+N54,2))</x:f>
        <x:v>3609.03</x:v>
      </x:c>
      <x:c r="S54" s="37" t="n">
        <x:f t="shared" si="8">IF(OR(I54="",R54=""),"",ROUND(I54-R54,2))</x:f>
        <x:v>790.57</x:v>
      </x:c>
    </x:row>
    <x:row r="55">
      <x:c r="A55" s="12" t="s">
        <x:v>220</x:v>
      </x:c>
      <x:c r="B55" s="34">
        <x:v>46223</x:v>
      </x:c>
      <x:c r="C55" s="12" t="s">
        <x:v>69</x:v>
      </x:c>
      <x:c r="D55" s="12" t="s">
        <x:v>221</x:v>
      </x:c>
      <x:c r="E55" s="12">
        <x:v>7</x:v>
      </x:c>
      <x:c r="F55" s="37">
        <x:v>499.9</x:v>
      </x:c>
      <x:c r="G55" s="38">
        <x:v>0.08</x:v>
      </x:c>
      <x:c r="H55" s="37">
        <x:v>3499.3</x:v>
      </x:c>
      <x:c r="I55" s="37">
        <x:v>3219.36</x:v>
      </x:c>
      <x:c r="J55" s="34">
        <x:v>46237</x:v>
      </x:c>
      <x:c r="K55" s="34">
        <x:v>46238</x:v>
      </x:c>
      <x:c r="L55" s="12" t="s">
        <x:v>28</x:v>
      </x:c>
      <x:c r="M55" s="37">
        <x:v>2250.66</x:v>
      </x:c>
      <x:c r="N55" s="37">
        <x:v>102.34</x:v>
      </x:c>
      <x:c r="O55" s="36" t="n">
        <x:f t="shared" si="4">IF(OR(B55="",J55=""),"",J55-B55)</x:f>
        <x:v>14</x:v>
      </x:c>
      <x:c r="P55" s="36" t="n">
        <x:f t="shared" ca="1" si="5">IF(L55="Cancelado","",IF(L55="Entregue",IF(K55="","",MAX(0,K55-J55)),MAX(0,TODAY()-J55)))</x:f>
        <x:v>1</x:v>
      </x:c>
      <x:c r="Q55" s="12" t="str">
        <x:f t="shared" ca="1" si="6">IF(L55="Cancelado","Cancelado",IF(L55="Entregue",IF(P55&gt;0,"Entregue com atraso","Entregue no prazo"),IF(P55&gt;0,"Atrasado","Dentro do prazo")))</x:f>
        <x:v>Entregue com atraso</x:v>
      </x:c>
      <x:c r="R55" s="37" t="n">
        <x:f t="shared" ca="1" si="7">IF(OR(M55="",N55=""),"",ROUND(M55+N55,2))</x:f>
        <x:v>2353</x:v>
      </x:c>
      <x:c r="S55" s="37" t="n">
        <x:f t="shared" si="8">IF(OR(I55="",R55=""),"",ROUND(I55-R55,2))</x:f>
        <x:v>866.36</x:v>
      </x:c>
    </x:row>
    <x:row r="56">
      <x:c r="A56" s="12" t="s">
        <x:v>223</x:v>
      </x:c>
      <x:c r="B56" s="34">
        <x:v>46194</x:v>
      </x:c>
      <x:c r="C56" s="12" t="s">
        <x:v>101</x:v>
      </x:c>
      <x:c r="D56" s="12" t="s">
        <x:v>66</x:v>
      </x:c>
      <x:c r="E56" s="12">
        <x:v>2</x:v>
      </x:c>
      <x:c r="F56" s="37">
        <x:v>389.9</x:v>
      </x:c>
      <x:c r="G56" s="38">
        <x:v>0.03</x:v>
      </x:c>
      <x:c r="H56" s="37">
        <x:v>779.8</x:v>
      </x:c>
      <x:c r="I56" s="37">
        <x:v>756.41</x:v>
      </x:c>
      <x:c r="J56" s="34">
        <x:v>46202</x:v>
      </x:c>
      <x:c r="K56" s="34">
        <x:v>46205</x:v>
      </x:c>
      <x:c r="L56" s="12" t="s">
        <x:v>28</x:v>
      </x:c>
      <x:c r="M56" s="37">
        <x:v>525.20000000000005</x:v>
      </x:c>
      <x:c r="N56" s="37">
        <x:v>175.99</x:v>
      </x:c>
      <x:c r="O56" s="36" t="n">
        <x:f t="shared" si="4">IF(OR(B56="",J56=""),"",J56-B56)</x:f>
        <x:v>8</x:v>
      </x:c>
      <x:c r="P56" s="36" t="n">
        <x:f t="shared" ca="1" si="5">IF(L56="Cancelado","",IF(L56="Entregue",IF(K56="","",MAX(0,K56-J56)),MAX(0,TODAY()-J56)))</x:f>
        <x:v>3</x:v>
      </x:c>
      <x:c r="Q56" s="12" t="str">
        <x:f t="shared" ca="1" si="6">IF(L56="Cancelado","Cancelado",IF(L56="Entregue",IF(P56&gt;0,"Entregue com atraso","Entregue no prazo"),IF(P56&gt;0,"Atrasado","Dentro do prazo")))</x:f>
        <x:v>Entregue com atraso</x:v>
      </x:c>
      <x:c r="R56" s="37" t="n">
        <x:f t="shared" ca="1" si="7">IF(OR(M56="",N56=""),"",ROUND(M56+N56,2))</x:f>
        <x:v>701.19</x:v>
      </x:c>
      <x:c r="S56" s="37" t="n">
        <x:f t="shared" si="8">IF(OR(I56="",R56=""),"",ROUND(I56-R56,2))</x:f>
        <x:v>55.22</x:v>
      </x:c>
    </x:row>
    <x:row r="57">
      <x:c r="A57" s="12" t="s">
        <x:v>224</x:v>
      </x:c>
      <x:c r="B57" s="34">
        <x:v>46261</x:v>
      </x:c>
      <x:c r="C57" s="12" t="s">
        <x:v>162</x:v>
      </x:c>
      <x:c r="D57" s="12" t="s">
        <x:v>159</x:v>
      </x:c>
      <x:c r="E57" s="12">
        <x:v>8</x:v>
      </x:c>
      <x:c r="F57" s="37">
        <x:v>329.9</x:v>
      </x:c>
      <x:c r="G57" s="38">
        <x:v>0</x:v>
      </x:c>
      <x:c r="H57" s="37">
        <x:v>2639.2</x:v>
      </x:c>
      <x:c r="I57" s="37">
        <x:v>2639.2</x:v>
      </x:c>
      <x:c r="J57" s="34">
        <x:v>46273</x:v>
      </x:c>
      <x:c r="K57" s="34"/>
      <x:c r="L57" s="12" t="s">
        <x:v>25</x:v>
      </x:c>
      <x:c r="M57" s="37">
        <x:v>2053.46</x:v>
      </x:c>
      <x:c r="N57" s="37">
        <x:v>184.93</x:v>
      </x:c>
      <x:c r="O57" s="36" t="n">
        <x:f t="shared" si="4">IF(OR(B57="",J57=""),"",J57-B57)</x:f>
        <x:v>12</x:v>
      </x:c>
      <x:c r="P57" s="36" t="n">
        <x:f t="shared" ca="1" si="5">IF(L57="Cancelado","",IF(L57="Entregue",IF(K57="","",MAX(0,K57-J57)),MAX(0,TODAY()-J57)))</x:f>
        <x:v>7</x:v>
      </x:c>
      <x:c r="Q57" s="12" t="str">
        <x:f t="shared" ca="1" si="6">IF(L57="Cancelado","Cancelado",IF(L57="Entregue",IF(P57&gt;0,"Entregue com atraso","Entregue no prazo"),IF(P57&gt;0,"Atrasado","Dentro do prazo")))</x:f>
        <x:v>Atrasado</x:v>
      </x:c>
      <x:c r="R57" s="37" t="n">
        <x:f t="shared" ca="1" si="7">IF(OR(M57="",N57=""),"",ROUND(M57+N57,2))</x:f>
        <x:v>2238.39</x:v>
      </x:c>
      <x:c r="S57" s="37" t="n">
        <x:f t="shared" si="8">IF(OR(I57="",R57=""),"",ROUND(I57-R57,2))</x:f>
        <x:v>400.81</x:v>
      </x:c>
    </x:row>
    <x:row r="58">
      <x:c r="A58" s="12" t="s">
        <x:v>225</x:v>
      </x:c>
      <x:c r="B58" s="34">
        <x:v>46220</x:v>
      </x:c>
      <x:c r="C58" s="12" t="s">
        <x:v>122</x:v>
      </x:c>
      <x:c r="D58" s="12" t="s">
        <x:v>221</x:v>
      </x:c>
      <x:c r="E58" s="12">
        <x:v>7</x:v>
      </x:c>
      <x:c r="F58" s="37">
        <x:v>499.9</x:v>
      </x:c>
      <x:c r="G58" s="38">
        <x:v>0.05</x:v>
      </x:c>
      <x:c r="H58" s="37">
        <x:v>3499.3</x:v>
      </x:c>
      <x:c r="I58" s="37">
        <x:v>3324.34</x:v>
      </x:c>
      <x:c r="J58" s="34">
        <x:v>46232</x:v>
      </x:c>
      <x:c r="K58" s="34"/>
      <x:c r="L58" s="12" t="s">
        <x:v>27</x:v>
      </x:c>
      <x:c r="M58" s="37">
        <x:v>2456.64</x:v>
      </x:c>
      <x:c r="N58" s="37">
        <x:v>156.55000000000001</x:v>
      </x:c>
      <x:c r="O58" s="36" t="n">
        <x:f t="shared" si="4">IF(OR(B58="",J58=""),"",J58-B58)</x:f>
        <x:v>12</x:v>
      </x:c>
      <x:c r="P58" s="36" t="n">
        <x:f t="shared" ca="1" si="5">IF(L58="Cancelado","",IF(L58="Entregue",IF(K58="","",MAX(0,K58-J58)),MAX(0,TODAY()-J58)))</x:f>
        <x:v>48</x:v>
      </x:c>
      <x:c r="Q58" s="12" t="str">
        <x:f t="shared" ca="1" si="6">IF(L58="Cancelado","Cancelado",IF(L58="Entregue",IF(P58&gt;0,"Entregue com atraso","Entregue no prazo"),IF(P58&gt;0,"Atrasado","Dentro do prazo")))</x:f>
        <x:v>Atrasado</x:v>
      </x:c>
      <x:c r="R58" s="37" t="n">
        <x:f t="shared" ca="1" si="7">IF(OR(M58="",N58=""),"",ROUND(M58+N58,2))</x:f>
        <x:v>2613.19</x:v>
      </x:c>
      <x:c r="S58" s="37" t="n">
        <x:f t="shared" si="8">IF(OR(I58="",R58=""),"",ROUND(I58-R58,2))</x:f>
        <x:v>711.15</x:v>
      </x:c>
    </x:row>
    <x:row r="59">
      <x:c r="A59" s="12" t="s">
        <x:v>226</x:v>
      </x:c>
      <x:c r="B59" s="34">
        <x:v>46093</x:v>
      </x:c>
      <x:c r="C59" s="12" t="s">
        <x:v>145</x:v>
      </x:c>
      <x:c r="D59" s="12" t="s">
        <x:v>82</x:v>
      </x:c>
      <x:c r="E59" s="12">
        <x:v>5</x:v>
      </x:c>
      <x:c r="F59" s="37">
        <x:v>729.9</x:v>
      </x:c>
      <x:c r="G59" s="38">
        <x:v>0.05</x:v>
      </x:c>
      <x:c r="H59" s="37">
        <x:v>3649.5</x:v>
      </x:c>
      <x:c r="I59" s="37">
        <x:v>3467.02</x:v>
      </x:c>
      <x:c r="J59" s="34">
        <x:v>46105</x:v>
      </x:c>
      <x:c r="K59" s="34">
        <x:v>46105</x:v>
      </x:c>
      <x:c r="L59" s="12" t="s">
        <x:v>28</x:v>
      </x:c>
      <x:c r="M59" s="37">
        <x:v>2393.56</x:v>
      </x:c>
      <x:c r="N59" s="37">
        <x:v>212.68</x:v>
      </x:c>
      <x:c r="O59" s="36" t="n">
        <x:f t="shared" si="4">IF(OR(B59="",J59=""),"",J59-B59)</x:f>
        <x:v>12</x:v>
      </x:c>
      <x:c r="P59" s="36" t="n">
        <x:f t="shared" ca="1" si="5">IF(L59="Cancelado","",IF(L59="Entregue",IF(K59="","",MAX(0,K59-J59)),MAX(0,TODAY()-J59)))</x:f>
        <x:v>0</x:v>
      </x:c>
      <x:c r="Q59" s="12" t="str">
        <x:f t="shared" ca="1" si="6">IF(L59="Cancelado","Cancelado",IF(L59="Entregue",IF(P59&gt;0,"Entregue com atraso","Entregue no prazo"),IF(P59&gt;0,"Atrasado","Dentro do prazo")))</x:f>
        <x:v>Entregue no prazo</x:v>
      </x:c>
      <x:c r="R59" s="37" t="n">
        <x:f t="shared" ca="1" si="7">IF(OR(M59="",N59=""),"",ROUND(M59+N59,2))</x:f>
        <x:v>2606.24</x:v>
      </x:c>
      <x:c r="S59" s="37" t="n">
        <x:f t="shared" si="8">IF(OR(I59="",R59=""),"",ROUND(I59-R59,2))</x:f>
        <x:v>860.78</x:v>
      </x:c>
    </x:row>
    <x:row r="60">
      <x:c r="A60" s="12" t="s">
        <x:v>227</x:v>
      </x:c>
      <x:c r="B60" s="34">
        <x:v>46087</x:v>
      </x:c>
      <x:c r="C60" s="12" t="s">
        <x:v>210</x:v>
      </x:c>
      <x:c r="D60" s="12" t="s">
        <x:v>104</x:v>
      </x:c>
      <x:c r="E60" s="12">
        <x:v>6</x:v>
      </x:c>
      <x:c r="F60" s="37">
        <x:v>699.9</x:v>
      </x:c>
      <x:c r="G60" s="38">
        <x:v>0.05</x:v>
      </x:c>
      <x:c r="H60" s="37">
        <x:v>4199.3999999999996</x:v>
      </x:c>
      <x:c r="I60" s="37">
        <x:v>3989.43</x:v>
      </x:c>
      <x:c r="J60" s="34">
        <x:v>46093</x:v>
      </x:c>
      <x:c r="K60" s="34">
        <x:v>46093</x:v>
      </x:c>
      <x:c r="L60" s="12" t="s">
        <x:v>28</x:v>
      </x:c>
      <x:c r="M60" s="37">
        <x:v>2717.94</x:v>
      </x:c>
      <x:c r="N60" s="37">
        <x:v>80.91</x:v>
      </x:c>
      <x:c r="O60" s="36" t="n">
        <x:f t="shared" si="4">IF(OR(B60="",J60=""),"",J60-B60)</x:f>
        <x:v>6</x:v>
      </x:c>
      <x:c r="P60" s="36" t="n">
        <x:f t="shared" ca="1" si="5">IF(L60="Cancelado","",IF(L60="Entregue",IF(K60="","",MAX(0,K60-J60)),MAX(0,TODAY()-J60)))</x:f>
        <x:v>0</x:v>
      </x:c>
      <x:c r="Q60" s="12" t="str">
        <x:f t="shared" ca="1" si="6">IF(L60="Cancelado","Cancelado",IF(L60="Entregue",IF(P60&gt;0,"Entregue com atraso","Entregue no prazo"),IF(P60&gt;0,"Atrasado","Dentro do prazo")))</x:f>
        <x:v>Entregue no prazo</x:v>
      </x:c>
      <x:c r="R60" s="37" t="n">
        <x:f t="shared" ca="1" si="7">IF(OR(M60="",N60=""),"",ROUND(M60+N60,2))</x:f>
        <x:v>2798.85</x:v>
      </x:c>
      <x:c r="S60" s="37" t="n">
        <x:f t="shared" si="8">IF(OR(I60="",R60=""),"",ROUND(I60-R60,2))</x:f>
        <x:v>1190.58</x:v>
      </x:c>
    </x:row>
    <x:row r="61">
      <x:c r="A61" s="12" t="s">
        <x:v>228</x:v>
      </x:c>
      <x:c r="B61" s="34">
        <x:v>46081</x:v>
      </x:c>
      <x:c r="C61" s="12" t="s">
        <x:v>69</x:v>
      </x:c>
      <x:c r="D61" s="12" t="s">
        <x:v>156</x:v>
      </x:c>
      <x:c r="E61" s="12">
        <x:v>7</x:v>
      </x:c>
      <x:c r="F61" s="37">
        <x:v>849.9</x:v>
      </x:c>
      <x:c r="G61" s="38">
        <x:v>0</x:v>
      </x:c>
      <x:c r="H61" s="37">
        <x:v>5949.3</x:v>
      </x:c>
      <x:c r="I61" s="37">
        <x:v>5949.3</x:v>
      </x:c>
      <x:c r="J61" s="34">
        <x:v>46094</x:v>
      </x:c>
      <x:c r="K61" s="34">
        <x:v>46091</x:v>
      </x:c>
      <x:c r="L61" s="12" t="s">
        <x:v>28</x:v>
      </x:c>
      <x:c r="M61" s="37">
        <x:v>3885.45</x:v>
      </x:c>
      <x:c r="N61" s="37">
        <x:v>143.72999999999999</x:v>
      </x:c>
      <x:c r="O61" s="36" t="n">
        <x:f t="shared" si="4">IF(OR(B61="",J61=""),"",J61-B61)</x:f>
        <x:v>13</x:v>
      </x:c>
      <x:c r="P61" s="36" t="n">
        <x:f t="shared" ca="1" si="5">IF(L61="Cancelado","",IF(L61="Entregue",IF(K61="","",MAX(0,K61-J61)),MAX(0,TODAY()-J61)))</x:f>
        <x:v>0</x:v>
      </x:c>
      <x:c r="Q61" s="12" t="str">
        <x:f t="shared" ca="1" si="6">IF(L61="Cancelado","Cancelado",IF(L61="Entregue",IF(P61&gt;0,"Entregue com atraso","Entregue no prazo"),IF(P61&gt;0,"Atrasado","Dentro do prazo")))</x:f>
        <x:v>Entregue no prazo</x:v>
      </x:c>
      <x:c r="R61" s="37" t="n">
        <x:f t="shared" ca="1" si="7">IF(OR(M61="",N61=""),"",ROUND(M61+N61,2))</x:f>
        <x:v>4029.18</x:v>
      </x:c>
      <x:c r="S61" s="37" t="n">
        <x:f t="shared" si="8">IF(OR(I61="",R61=""),"",ROUND(I61-R61,2))</x:f>
        <x:v>1920.12</x:v>
      </x:c>
    </x:row>
    <x:row r="62">
      <x:c r="A62" s="12" t="s">
        <x:v>229</x:v>
      </x:c>
      <x:c r="B62" s="34">
        <x:v>46258</x:v>
      </x:c>
      <x:c r="C62" s="12" t="s">
        <x:v>145</x:v>
      </x:c>
      <x:c r="D62" s="12" t="s">
        <x:v>139</x:v>
      </x:c>
      <x:c r="E62" s="12">
        <x:v>1</x:v>
      </x:c>
      <x:c r="F62" s="37">
        <x:v>779.9</x:v>
      </x:c>
      <x:c r="G62" s="38">
        <x:v>0.05</x:v>
      </x:c>
      <x:c r="H62" s="37">
        <x:v>779.9</x:v>
      </x:c>
      <x:c r="I62" s="37">
        <x:v>740.9</x:v>
      </x:c>
      <x:c r="J62" s="34">
        <x:v>46269</x:v>
      </x:c>
      <x:c r="K62" s="34"/>
      <x:c r="L62" s="12" t="s">
        <x:v>27</x:v>
      </x:c>
      <x:c r="M62" s="37">
        <x:v>571.11</x:v>
      </x:c>
      <x:c r="N62" s="37">
        <x:v>115.17</x:v>
      </x:c>
      <x:c r="O62" s="36" t="n">
        <x:f t="shared" si="4">IF(OR(B62="",J62=""),"",J62-B62)</x:f>
        <x:v>11</x:v>
      </x:c>
      <x:c r="P62" s="36" t="n">
        <x:f t="shared" ca="1" si="5">IF(L62="Cancelado","",IF(L62="Entregue",IF(K62="","",MAX(0,K62-J62)),MAX(0,TODAY()-J62)))</x:f>
        <x:v>11</x:v>
      </x:c>
      <x:c r="Q62" s="12" t="str">
        <x:f t="shared" ca="1" si="6">IF(L62="Cancelado","Cancelado",IF(L62="Entregue",IF(P62&gt;0,"Entregue com atraso","Entregue no prazo"),IF(P62&gt;0,"Atrasado","Dentro do prazo")))</x:f>
        <x:v>Atrasado</x:v>
      </x:c>
      <x:c r="R62" s="37" t="n">
        <x:f t="shared" ca="1" si="7">IF(OR(M62="",N62=""),"",ROUND(M62+N62,2))</x:f>
        <x:v>686.28</x:v>
      </x:c>
      <x:c r="S62" s="37" t="n">
        <x:f t="shared" si="8">IF(OR(I62="",R62=""),"",ROUND(I62-R62,2))</x:f>
        <x:v>54.62</x:v>
      </x:c>
    </x:row>
    <x:row r="63">
      <x:c r="A63" s="12" t="s">
        <x:v>230</x:v>
      </x:c>
      <x:c r="B63" s="34">
        <x:v>46126</x:v>
      </x:c>
      <x:c r="C63" s="12" t="s">
        <x:v>162</x:v>
      </x:c>
      <x:c r="D63" s="12" t="s">
        <x:v>156</x:v>
      </x:c>
      <x:c r="E63" s="12">
        <x:v>4</x:v>
      </x:c>
      <x:c r="F63" s="37">
        <x:v>849.9</x:v>
      </x:c>
      <x:c r="G63" s="38">
        <x:v>0.03</x:v>
      </x:c>
      <x:c r="H63" s="37">
        <x:v>3399.6</x:v>
      </x:c>
      <x:c r="I63" s="37">
        <x:v>3297.61</x:v>
      </x:c>
      <x:c r="J63" s="34">
        <x:v>46134</x:v>
      </x:c>
      <x:c r="K63" s="34">
        <x:v>46136</x:v>
      </x:c>
      <x:c r="L63" s="12" t="s">
        <x:v>28</x:v>
      </x:c>
      <x:c r="M63" s="37">
        <x:v>2059.83</x:v>
      </x:c>
      <x:c r="N63" s="37">
        <x:v>123.99</x:v>
      </x:c>
      <x:c r="O63" s="36" t="n">
        <x:f t="shared" si="4">IF(OR(B63="",J63=""),"",J63-B63)</x:f>
        <x:v>8</x:v>
      </x:c>
      <x:c r="P63" s="36" t="n">
        <x:f t="shared" ca="1" si="5">IF(L63="Cancelado","",IF(L63="Entregue",IF(K63="","",MAX(0,K63-J63)),MAX(0,TODAY()-J63)))</x:f>
        <x:v>2</x:v>
      </x:c>
      <x:c r="Q63" s="12" t="str">
        <x:f t="shared" ca="1" si="6">IF(L63="Cancelado","Cancelado",IF(L63="Entregue",IF(P63&gt;0,"Entregue com atraso","Entregue no prazo"),IF(P63&gt;0,"Atrasado","Dentro do prazo")))</x:f>
        <x:v>Entregue com atraso</x:v>
      </x:c>
      <x:c r="R63" s="37" t="n">
        <x:f t="shared" ca="1" si="7">IF(OR(M63="",N63=""),"",ROUND(M63+N63,2))</x:f>
        <x:v>2183.82</x:v>
      </x:c>
      <x:c r="S63" s="37" t="n">
        <x:f t="shared" si="8">IF(OR(I63="",R63=""),"",ROUND(I63-R63,2))</x:f>
        <x:v>1113.79</x:v>
      </x:c>
    </x:row>
    <x:row r="64">
      <x:c r="A64" s="12" t="s">
        <x:v>231</x:v>
      </x:c>
      <x:c r="B64" s="34">
        <x:v>46200</x:v>
      </x:c>
      <x:c r="C64" s="12" t="s">
        <x:v>64</x:v>
      </x:c>
      <x:c r="D64" s="12" t="s">
        <x:v>72</x:v>
      </x:c>
      <x:c r="E64" s="12">
        <x:v>3</x:v>
      </x:c>
      <x:c r="F64" s="37">
        <x:v>1349.9</x:v>
      </x:c>
      <x:c r="G64" s="38">
        <x:v>0.03</x:v>
      </x:c>
      <x:c r="H64" s="37">
        <x:v>4049.7</x:v>
      </x:c>
      <x:c r="I64" s="37">
        <x:v>3928.21</x:v>
      </x:c>
      <x:c r="J64" s="34">
        <x:v>46207</x:v>
      </x:c>
      <x:c r="K64" s="34"/>
      <x:c r="L64" s="12" t="s">
        <x:v>29</x:v>
      </x:c>
      <x:c r="M64" s="37">
        <x:v>2771.19</x:v>
      </x:c>
      <x:c r="N64" s="37">
        <x:v>258.13</x:v>
      </x:c>
      <x:c r="O64" s="36" t="n">
        <x:f t="shared" si="4">IF(OR(B64="",J64=""),"",J64-B64)</x:f>
        <x:v>7</x:v>
      </x:c>
      <x:c r="P64" s="36" t="str">
        <x:f t="shared" ca="1" si="5">IF(L64="Cancelado","",IF(L64="Entregue",IF(K64="","",MAX(0,K64-J64)),MAX(0,TODAY()-J64)))</x:f>
      </x:c>
      <x:c r="Q64" s="12" t="str">
        <x:f t="shared" ca="1" si="6">IF(L64="Cancelado","Cancelado",IF(L64="Entregue",IF(P64&gt;0,"Entregue com atraso","Entregue no prazo"),IF(P64&gt;0,"Atrasado","Dentro do prazo")))</x:f>
        <x:v>Cancelado</x:v>
      </x:c>
      <x:c r="R64" s="37" t="n">
        <x:f t="shared" ca="1" si="7">IF(OR(M64="",N64=""),"",ROUND(M64+N64,2))</x:f>
        <x:v>3029.32</x:v>
      </x:c>
      <x:c r="S64" s="37" t="n">
        <x:f t="shared" si="8">IF(OR(I64="",R64=""),"",ROUND(I64-R64,2))</x:f>
        <x:v>898.89</x:v>
      </x:c>
    </x:row>
    <x:row r="65">
      <x:c r="A65" s="12" t="s">
        <x:v>232</x:v>
      </x:c>
      <x:c r="B65" s="34">
        <x:v>46178</x:v>
      </x:c>
      <x:c r="C65" s="12" t="s">
        <x:v>177</x:v>
      </x:c>
      <x:c r="D65" s="12" t="s">
        <x:v>66</x:v>
      </x:c>
      <x:c r="E65" s="12">
        <x:v>2</x:v>
      </x:c>
      <x:c r="F65" s="37">
        <x:v>389.9</x:v>
      </x:c>
      <x:c r="G65" s="38">
        <x:v>0.08</x:v>
      </x:c>
      <x:c r="H65" s="37">
        <x:v>779.8</x:v>
      </x:c>
      <x:c r="I65" s="37">
        <x:v>717.42</x:v>
      </x:c>
      <x:c r="J65" s="34">
        <x:v>46189</x:v>
      </x:c>
      <x:c r="K65" s="34">
        <x:v>46191</x:v>
      </x:c>
      <x:c r="L65" s="12" t="s">
        <x:v>28</x:v>
      </x:c>
      <x:c r="M65" s="37">
        <x:v>465.66</x:v>
      </x:c>
      <x:c r="N65" s="37">
        <x:v>106.14</x:v>
      </x:c>
      <x:c r="O65" s="36" t="n">
        <x:f t="shared" si="4">IF(OR(B65="",J65=""),"",J65-B65)</x:f>
        <x:v>11</x:v>
      </x:c>
      <x:c r="P65" s="36" t="n">
        <x:f t="shared" ca="1" si="5">IF(L65="Cancelado","",IF(L65="Entregue",IF(K65="","",MAX(0,K65-J65)),MAX(0,TODAY()-J65)))</x:f>
        <x:v>2</x:v>
      </x:c>
      <x:c r="Q65" s="12" t="str">
        <x:f t="shared" ca="1" si="6">IF(L65="Cancelado","Cancelado",IF(L65="Entregue",IF(P65&gt;0,"Entregue com atraso","Entregue no prazo"),IF(P65&gt;0,"Atrasado","Dentro do prazo")))</x:f>
        <x:v>Entregue com atraso</x:v>
      </x:c>
      <x:c r="R65" s="37" t="n">
        <x:f t="shared" ca="1" si="7">IF(OR(M65="",N65=""),"",ROUND(M65+N65,2))</x:f>
        <x:v>571.8</x:v>
      </x:c>
      <x:c r="S65" s="37" t="n">
        <x:f t="shared" si="8">IF(OR(I65="",R65=""),"",ROUND(I65-R65,2))</x:f>
        <x:v>145.62</x:v>
      </x:c>
    </x:row>
    <x:row r="66">
      <x:c r="A66" s="12" t="s">
        <x:v>233</x:v>
      </x:c>
      <x:c r="B66" s="34">
        <x:v>46110</x:v>
      </x:c>
      <x:c r="C66" s="12" t="s">
        <x:v>128</x:v>
      </x:c>
      <x:c r="D66" s="12" t="s">
        <x:v>221</x:v>
      </x:c>
      <x:c r="E66" s="12">
        <x:v>6</x:v>
      </x:c>
      <x:c r="F66" s="37">
        <x:v>499.9</x:v>
      </x:c>
      <x:c r="G66" s="38">
        <x:v>0</x:v>
      </x:c>
      <x:c r="H66" s="37">
        <x:v>2999.4</x:v>
      </x:c>
      <x:c r="I66" s="37">
        <x:v>2999.4</x:v>
      </x:c>
      <x:c r="J66" s="34">
        <x:v>46121</x:v>
      </x:c>
      <x:c r="K66" s="34">
        <x:v>46122</x:v>
      </x:c>
      <x:c r="L66" s="12" t="s">
        <x:v>28</x:v>
      </x:c>
      <x:c r="M66" s="37">
        <x:v>1980.69</x:v>
      </x:c>
      <x:c r="N66" s="37">
        <x:v>64.25</x:v>
      </x:c>
      <x:c r="O66" s="36" t="n">
        <x:f t="shared" si="4">IF(OR(B66="",J66=""),"",J66-B66)</x:f>
        <x:v>11</x:v>
      </x:c>
      <x:c r="P66" s="36" t="n">
        <x:f t="shared" ref="P66:P97" ca="1" si="9">IF(L66="Cancelado","",IF(L66="Entregue",IF(K66="","",MAX(0,K66-J66)),MAX(0,TODAY()-J66)))</x:f>
        <x:v>1</x:v>
      </x:c>
      <x:c r="Q66" s="12" t="str">
        <x:f t="shared" ref="Q66:Q97" ca="1" si="10">IF(L66="Cancelado","Cancelado",IF(L66="Entregue",IF(P66&gt;0,"Entregue com atraso","Entregue no prazo"),IF(P66&gt;0,"Atrasado","Dentro do prazo")))</x:f>
        <x:v>Entregue com atraso</x:v>
      </x:c>
      <x:c r="R66" s="37" t="n">
        <x:f t="shared" ref="R66:R97" ca="1" si="11">IF(OR(M66="",N66=""),"",ROUND(M66+N66,2))</x:f>
        <x:v>2044.94</x:v>
      </x:c>
      <x:c r="S66" s="37" t="n">
        <x:f t="shared" ref="S66:S97" si="12">IF(OR(I66="",R66=""),"",ROUND(I66-R66,2))</x:f>
        <x:v>954.46</x:v>
      </x:c>
    </x:row>
    <x:row r="67">
      <x:c r="A67" s="12" t="s">
        <x:v>234</x:v>
      </x:c>
      <x:c r="B67" s="34">
        <x:v>46031</x:v>
      </x:c>
      <x:c r="C67" s="12" t="s">
        <x:v>107</x:v>
      </x:c>
      <x:c r="D67" s="12" t="s">
        <x:v>76</x:v>
      </x:c>
      <x:c r="E67" s="12">
        <x:v>1</x:v>
      </x:c>
      <x:c r="F67" s="37">
        <x:v>689.9</x:v>
      </x:c>
      <x:c r="G67" s="38">
        <x:v>0</x:v>
      </x:c>
      <x:c r="H67" s="37">
        <x:v>689.9</x:v>
      </x:c>
      <x:c r="I67" s="37">
        <x:v>689.9</x:v>
      </x:c>
      <x:c r="J67" s="34">
        <x:v>46039</x:v>
      </x:c>
      <x:c r="K67" s="34">
        <x:v>46046</x:v>
      </x:c>
      <x:c r="L67" s="12" t="s">
        <x:v>28</x:v>
      </x:c>
      <x:c r="M67" s="37">
        <x:v>432.18</x:v>
      </x:c>
      <x:c r="N67" s="37">
        <x:v>52.29</x:v>
      </x:c>
      <x:c r="O67" s="36" t="n">
        <x:f t="shared" ref="O67:O121" si="13">IF(OR(B67="",J67=""),"",J67-B67)</x:f>
        <x:v>8</x:v>
      </x:c>
      <x:c r="P67" s="36" t="n">
        <x:f t="shared" ca="1" si="9">IF(L67="Cancelado","",IF(L67="Entregue",IF(K67="","",MAX(0,K67-J67)),MAX(0,TODAY()-J67)))</x:f>
        <x:v>7</x:v>
      </x:c>
      <x:c r="Q67" s="12" t="str">
        <x:f t="shared" ca="1" si="10">IF(L67="Cancelado","Cancelado",IF(L67="Entregue",IF(P67&gt;0,"Entregue com atraso","Entregue no prazo"),IF(P67&gt;0,"Atrasado","Dentro do prazo")))</x:f>
        <x:v>Entregue com atraso</x:v>
      </x:c>
      <x:c r="R67" s="37" t="n">
        <x:f t="shared" ca="1" si="11">IF(OR(M67="",N67=""),"",ROUND(M67+N67,2))</x:f>
        <x:v>484.47</x:v>
      </x:c>
      <x:c r="S67" s="37" t="n">
        <x:f t="shared" si="12">IF(OR(I67="",R67=""),"",ROUND(I67-R67,2))</x:f>
        <x:v>205.43</x:v>
      </x:c>
    </x:row>
    <x:row r="68">
      <x:c r="A68" s="12" t="s">
        <x:v>235</x:v>
      </x:c>
      <x:c r="B68" s="34">
        <x:v>46090</x:v>
      </x:c>
      <x:c r="C68" s="12" t="s">
        <x:v>128</x:v>
      </x:c>
      <x:c r="D68" s="12" t="s">
        <x:v>66</x:v>
      </x:c>
      <x:c r="E68" s="12">
        <x:v>3</x:v>
      </x:c>
      <x:c r="F68" s="37">
        <x:v>389.9</x:v>
      </x:c>
      <x:c r="G68" s="38">
        <x:v>0</x:v>
      </x:c>
      <x:c r="H68" s="37">
        <x:v>1169.7</x:v>
      </x:c>
      <x:c r="I68" s="37">
        <x:v>1169.7</x:v>
      </x:c>
      <x:c r="J68" s="34">
        <x:v>46097</x:v>
      </x:c>
      <x:c r="K68" s="34">
        <x:v>46095</x:v>
      </x:c>
      <x:c r="L68" s="12" t="s">
        <x:v>28</x:v>
      </x:c>
      <x:c r="M68" s="37">
        <x:v>830.76</x:v>
      </x:c>
      <x:c r="N68" s="37">
        <x:v>96.22</x:v>
      </x:c>
      <x:c r="O68" s="36" t="n">
        <x:f t="shared" si="13">IF(OR(B68="",J68=""),"",J68-B68)</x:f>
        <x:v>7</x:v>
      </x:c>
      <x:c r="P68" s="36" t="n">
        <x:f t="shared" ca="1" si="9">IF(L68="Cancelado","",IF(L68="Entregue",IF(K68="","",MAX(0,K68-J68)),MAX(0,TODAY()-J68)))</x:f>
        <x:v>0</x:v>
      </x:c>
      <x:c r="Q68" s="12" t="str">
        <x:f t="shared" ca="1" si="10">IF(L68="Cancelado","Cancelado",IF(L68="Entregue",IF(P68&gt;0,"Entregue com atraso","Entregue no prazo"),IF(P68&gt;0,"Atrasado","Dentro do prazo")))</x:f>
        <x:v>Entregue no prazo</x:v>
      </x:c>
      <x:c r="R68" s="37" t="n">
        <x:f t="shared" ca="1" si="11">IF(OR(M68="",N68=""),"",ROUND(M68+N68,2))</x:f>
        <x:v>926.98</x:v>
      </x:c>
      <x:c r="S68" s="37" t="n">
        <x:f t="shared" si="12">IF(OR(I68="",R68=""),"",ROUND(I68-R68,2))</x:f>
        <x:v>242.72</x:v>
      </x:c>
    </x:row>
    <x:row r="69">
      <x:c r="A69" s="12" t="s">
        <x:v>236</x:v>
      </x:c>
      <x:c r="B69" s="34">
        <x:v>46206</x:v>
      </x:c>
      <x:c r="C69" s="12" t="s">
        <x:v>210</x:v>
      </x:c>
      <x:c r="D69" s="12" t="s">
        <x:v>196</x:v>
      </x:c>
      <x:c r="E69" s="12">
        <x:v>3</x:v>
      </x:c>
      <x:c r="F69" s="37">
        <x:v>1199.9000000000001</x:v>
      </x:c>
      <x:c r="G69" s="38">
        <x:v>0.05</x:v>
      </x:c>
      <x:c r="H69" s="37">
        <x:v>3599.7</x:v>
      </x:c>
      <x:c r="I69" s="37">
        <x:v>3419.71</x:v>
      </x:c>
      <x:c r="J69" s="34">
        <x:v>46220</x:v>
      </x:c>
      <x:c r="K69" s="34"/>
      <x:c r="L69" s="12" t="s">
        <x:v>29</x:v>
      </x:c>
      <x:c r="M69" s="37">
        <x:v>2513.27</x:v>
      </x:c>
      <x:c r="N69" s="37">
        <x:v>227.78</x:v>
      </x:c>
      <x:c r="O69" s="36" t="n">
        <x:f t="shared" si="13">IF(OR(B69="",J69=""),"",J69-B69)</x:f>
        <x:v>14</x:v>
      </x:c>
      <x:c r="P69" s="36" t="str">
        <x:f t="shared" ca="1" si="9">IF(L69="Cancelado","",IF(L69="Entregue",IF(K69="","",MAX(0,K69-J69)),MAX(0,TODAY()-J69)))</x:f>
      </x:c>
      <x:c r="Q69" s="12" t="str">
        <x:f t="shared" ca="1" si="10">IF(L69="Cancelado","Cancelado",IF(L69="Entregue",IF(P69&gt;0,"Entregue com atraso","Entregue no prazo"),IF(P69&gt;0,"Atrasado","Dentro do prazo")))</x:f>
        <x:v>Cancelado</x:v>
      </x:c>
      <x:c r="R69" s="37" t="n">
        <x:f t="shared" ca="1" si="11">IF(OR(M69="",N69=""),"",ROUND(M69+N69,2))</x:f>
        <x:v>2741.05</x:v>
      </x:c>
      <x:c r="S69" s="37" t="n">
        <x:f t="shared" si="12">IF(OR(I69="",R69=""),"",ROUND(I69-R69,2))</x:f>
        <x:v>678.66</x:v>
      </x:c>
    </x:row>
    <x:row r="70">
      <x:c r="A70" s="12" t="s">
        <x:v>237</x:v>
      </x:c>
      <x:c r="B70" s="34">
        <x:v>46068</x:v>
      </x:c>
      <x:c r="C70" s="12" t="s">
        <x:v>168</x:v>
      </x:c>
      <x:c r="D70" s="12" t="s">
        <x:v>159</x:v>
      </x:c>
      <x:c r="E70" s="12">
        <x:v>1</x:v>
      </x:c>
      <x:c r="F70" s="37">
        <x:v>329.9</x:v>
      </x:c>
      <x:c r="G70" s="38">
        <x:v>0</x:v>
      </x:c>
      <x:c r="H70" s="37">
        <x:v>329.9</x:v>
      </x:c>
      <x:c r="I70" s="37">
        <x:v>329.9</x:v>
      </x:c>
      <x:c r="J70" s="34">
        <x:v>46082</x:v>
      </x:c>
      <x:c r="K70" s="34">
        <x:v>46083</x:v>
      </x:c>
      <x:c r="L70" s="12" t="s">
        <x:v>28</x:v>
      </x:c>
      <x:c r="M70" s="37">
        <x:v>225.48</x:v>
      </x:c>
      <x:c r="N70" s="37">
        <x:v>213.03</x:v>
      </x:c>
      <x:c r="O70" s="36" t="n">
        <x:f t="shared" si="13">IF(OR(B70="",J70=""),"",J70-B70)</x:f>
        <x:v>14</x:v>
      </x:c>
      <x:c r="P70" s="36" t="n">
        <x:f t="shared" ca="1" si="9">IF(L70="Cancelado","",IF(L70="Entregue",IF(K70="","",MAX(0,K70-J70)),MAX(0,TODAY()-J70)))</x:f>
        <x:v>1</x:v>
      </x:c>
      <x:c r="Q70" s="12" t="str">
        <x:f t="shared" ca="1" si="10">IF(L70="Cancelado","Cancelado",IF(L70="Entregue",IF(P70&gt;0,"Entregue com atraso","Entregue no prazo"),IF(P70&gt;0,"Atrasado","Dentro do prazo")))</x:f>
        <x:v>Entregue com atraso</x:v>
      </x:c>
      <x:c r="R70" s="37" t="n">
        <x:f t="shared" ca="1" si="11">IF(OR(M70="",N70=""),"",ROUND(M70+N70,2))</x:f>
        <x:v>438.51</x:v>
      </x:c>
      <x:c r="S70" s="37" t="n">
        <x:f t="shared" si="12">IF(OR(I70="",R70=""),"",ROUND(I70-R70,2))</x:f>
        <x:v>-108.61</x:v>
      </x:c>
    </x:row>
    <x:row r="71">
      <x:c r="A71" s="12" t="s">
        <x:v>238</x:v>
      </x:c>
      <x:c r="B71" s="34">
        <x:v>46046</x:v>
      </x:c>
      <x:c r="C71" s="12" t="s">
        <x:v>177</x:v>
      </x:c>
      <x:c r="D71" s="12" t="s">
        <x:v>82</x:v>
      </x:c>
      <x:c r="E71" s="12">
        <x:v>2</x:v>
      </x:c>
      <x:c r="F71" s="37">
        <x:v>729.9</x:v>
      </x:c>
      <x:c r="G71" s="38">
        <x:v>0.08</x:v>
      </x:c>
      <x:c r="H71" s="37">
        <x:v>1459.8</x:v>
      </x:c>
      <x:c r="I71" s="37">
        <x:v>1343.02</x:v>
      </x:c>
      <x:c r="J71" s="34">
        <x:v>46055</x:v>
      </x:c>
      <x:c r="K71" s="34"/>
      <x:c r="L71" s="12" t="s">
        <x:v>27</x:v>
      </x:c>
      <x:c r="M71" s="37">
        <x:v>961.69</x:v>
      </x:c>
      <x:c r="N71" s="37">
        <x:v>73.45</x:v>
      </x:c>
      <x:c r="O71" s="36" t="n">
        <x:f t="shared" si="13">IF(OR(B71="",J71=""),"",J71-B71)</x:f>
        <x:v>9</x:v>
      </x:c>
      <x:c r="P71" s="36" t="n">
        <x:f t="shared" ca="1" si="9">IF(L71="Cancelado","",IF(L71="Entregue",IF(K71="","",MAX(0,K71-J71)),MAX(0,TODAY()-J71)))</x:f>
        <x:v>225</x:v>
      </x:c>
      <x:c r="Q71" s="12" t="str">
        <x:f t="shared" ca="1" si="10">IF(L71="Cancelado","Cancelado",IF(L71="Entregue",IF(P71&gt;0,"Entregue com atraso","Entregue no prazo"),IF(P71&gt;0,"Atrasado","Dentro do prazo")))</x:f>
        <x:v>Atrasado</x:v>
      </x:c>
      <x:c r="R71" s="37" t="n">
        <x:f t="shared" ca="1" si="11">IF(OR(M71="",N71=""),"",ROUND(M71+N71,2))</x:f>
        <x:v>1035.14</x:v>
      </x:c>
      <x:c r="S71" s="37" t="n">
        <x:f t="shared" si="12">IF(OR(I71="",R71=""),"",ROUND(I71-R71,2))</x:f>
        <x:v>307.88</x:v>
      </x:c>
    </x:row>
    <x:row r="72">
      <x:c r="A72" s="12" t="s">
        <x:v>239</x:v>
      </x:c>
      <x:c r="B72" s="34">
        <x:v>46171</x:v>
      </x:c>
      <x:c r="C72" s="12" t="s">
        <x:v>64</x:v>
      </x:c>
      <x:c r="D72" s="12" t="s">
        <x:v>98</x:v>
      </x:c>
      <x:c r="E72" s="12">
        <x:v>6</x:v>
      </x:c>
      <x:c r="F72" s="37">
        <x:v>749.9</x:v>
      </x:c>
      <x:c r="G72" s="38">
        <x:v>0.05</x:v>
      </x:c>
      <x:c r="H72" s="37">
        <x:v>4499.3999999999996</x:v>
      </x:c>
      <x:c r="I72" s="37">
        <x:v>4274.43</x:v>
      </x:c>
      <x:c r="J72" s="34">
        <x:v>46182</x:v>
      </x:c>
      <x:c r="K72" s="34">
        <x:v>46180</x:v>
      </x:c>
      <x:c r="L72" s="12" t="s">
        <x:v>28</x:v>
      </x:c>
      <x:c r="M72" s="37">
        <x:v>2996.18</x:v>
      </x:c>
      <x:c r="N72" s="37">
        <x:v>125.19</x:v>
      </x:c>
      <x:c r="O72" s="36" t="n">
        <x:f t="shared" si="13">IF(OR(B72="",J72=""),"",J72-B72)</x:f>
        <x:v>11</x:v>
      </x:c>
      <x:c r="P72" s="36" t="n">
        <x:f t="shared" ca="1" si="9">IF(L72="Cancelado","",IF(L72="Entregue",IF(K72="","",MAX(0,K72-J72)),MAX(0,TODAY()-J72)))</x:f>
        <x:v>0</x:v>
      </x:c>
      <x:c r="Q72" s="12" t="str">
        <x:f t="shared" ca="1" si="10">IF(L72="Cancelado","Cancelado",IF(L72="Entregue",IF(P72&gt;0,"Entregue com atraso","Entregue no prazo"),IF(P72&gt;0,"Atrasado","Dentro do prazo")))</x:f>
        <x:v>Entregue no prazo</x:v>
      </x:c>
      <x:c r="R72" s="37" t="n">
        <x:f t="shared" ca="1" si="11">IF(OR(M72="",N72=""),"",ROUND(M72+N72,2))</x:f>
        <x:v>3121.37</x:v>
      </x:c>
      <x:c r="S72" s="37" t="n">
        <x:f t="shared" si="12">IF(OR(I72="",R72=""),"",ROUND(I72-R72,2))</x:f>
        <x:v>1153.06</x:v>
      </x:c>
    </x:row>
    <x:row r="73">
      <x:c r="A73" s="12" t="s">
        <x:v>240</x:v>
      </x:c>
      <x:c r="B73" s="34">
        <x:v>46244</x:v>
      </x:c>
      <x:c r="C73" s="12" t="s">
        <x:v>193</x:v>
      </x:c>
      <x:c r="D73" s="12" t="s">
        <x:v>111</x:v>
      </x:c>
      <x:c r="E73" s="12">
        <x:v>2</x:v>
      </x:c>
      <x:c r="F73" s="37">
        <x:v>599.9</x:v>
      </x:c>
      <x:c r="G73" s="38">
        <x:v>0.03</x:v>
      </x:c>
      <x:c r="H73" s="37">
        <x:v>1199.8</x:v>
      </x:c>
      <x:c r="I73" s="37">
        <x:v>1163.81</x:v>
      </x:c>
      <x:c r="J73" s="34">
        <x:v>46254</x:v>
      </x:c>
      <x:c r="K73" s="34">
        <x:v>46256</x:v>
      </x:c>
      <x:c r="L73" s="12" t="s">
        <x:v>28</x:v>
      </x:c>
      <x:c r="M73" s="37">
        <x:v>853.27</x:v>
      </x:c>
      <x:c r="N73" s="37">
        <x:v>147.34</x:v>
      </x:c>
      <x:c r="O73" s="36" t="n">
        <x:f t="shared" si="13">IF(OR(B73="",J73=""),"",J73-B73)</x:f>
        <x:v>10</x:v>
      </x:c>
      <x:c r="P73" s="36" t="n">
        <x:f t="shared" ca="1" si="9">IF(L73="Cancelado","",IF(L73="Entregue",IF(K73="","",MAX(0,K73-J73)),MAX(0,TODAY()-J73)))</x:f>
        <x:v>2</x:v>
      </x:c>
      <x:c r="Q73" s="12" t="str">
        <x:f t="shared" ca="1" si="10">IF(L73="Cancelado","Cancelado",IF(L73="Entregue",IF(P73&gt;0,"Entregue com atraso","Entregue no prazo"),IF(P73&gt;0,"Atrasado","Dentro do prazo")))</x:f>
        <x:v>Entregue com atraso</x:v>
      </x:c>
      <x:c r="R73" s="37" t="n">
        <x:f t="shared" ca="1" si="11">IF(OR(M73="",N73=""),"",ROUND(M73+N73,2))</x:f>
        <x:v>1000.61</x:v>
      </x:c>
      <x:c r="S73" s="37" t="n">
        <x:f t="shared" si="12">IF(OR(I73="",R73=""),"",ROUND(I73-R73,2))</x:f>
        <x:v>163.2</x:v>
      </x:c>
    </x:row>
    <x:row r="74">
      <x:c r="A74" s="12" t="s">
        <x:v>241</x:v>
      </x:c>
      <x:c r="B74" s="34">
        <x:v>46214</x:v>
      </x:c>
      <x:c r="C74" s="12" t="s">
        <x:v>57</x:v>
      </x:c>
      <x:c r="D74" s="12" t="s">
        <x:v>124</x:v>
      </x:c>
      <x:c r="E74" s="12">
        <x:v>8</x:v>
      </x:c>
      <x:c r="F74" s="37">
        <x:v>579.9</x:v>
      </x:c>
      <x:c r="G74" s="38">
        <x:v>0.03</x:v>
      </x:c>
      <x:c r="H74" s="37">
        <x:v>4639.2</x:v>
      </x:c>
      <x:c r="I74" s="37">
        <x:v>4500.0200000000004</x:v>
      </x:c>
      <x:c r="J74" s="34">
        <x:v>46225</x:v>
      </x:c>
      <x:c r="K74" s="34"/>
      <x:c r="L74" s="12" t="s">
        <x:v>27</x:v>
      </x:c>
      <x:c r="M74" s="37">
        <x:v>3216.6</x:v>
      </x:c>
      <x:c r="N74" s="37">
        <x:v>120.74</x:v>
      </x:c>
      <x:c r="O74" s="36" t="n">
        <x:f t="shared" si="13">IF(OR(B74="",J74=""),"",J74-B74)</x:f>
        <x:v>11</x:v>
      </x:c>
      <x:c r="P74" s="36" t="n">
        <x:f t="shared" ca="1" si="9">IF(L74="Cancelado","",IF(L74="Entregue",IF(K74="","",MAX(0,K74-J74)),MAX(0,TODAY()-J74)))</x:f>
        <x:v>55</x:v>
      </x:c>
      <x:c r="Q74" s="12" t="str">
        <x:f t="shared" ca="1" si="10">IF(L74="Cancelado","Cancelado",IF(L74="Entregue",IF(P74&gt;0,"Entregue com atraso","Entregue no prazo"),IF(P74&gt;0,"Atrasado","Dentro do prazo")))</x:f>
        <x:v>Atrasado</x:v>
      </x:c>
      <x:c r="R74" s="37" t="n">
        <x:f t="shared" ca="1" si="11">IF(OR(M74="",N74=""),"",ROUND(M74+N74,2))</x:f>
        <x:v>3337.34</x:v>
      </x:c>
      <x:c r="S74" s="37" t="n">
        <x:f t="shared" si="12">IF(OR(I74="",R74=""),"",ROUND(I74-R74,2))</x:f>
        <x:v>1162.68</x:v>
      </x:c>
    </x:row>
    <x:row r="75">
      <x:c r="A75" s="12" t="s">
        <x:v>242</x:v>
      </x:c>
      <x:c r="B75" s="34">
        <x:v>46089</x:v>
      </x:c>
      <x:c r="C75" s="12" t="s">
        <x:v>96</x:v>
      </x:c>
      <x:c r="D75" s="12" t="s">
        <x:v>151</x:v>
      </x:c>
      <x:c r="E75" s="12">
        <x:v>5</x:v>
      </x:c>
      <x:c r="F75" s="37">
        <x:v>989.9</x:v>
      </x:c>
      <x:c r="G75" s="38">
        <x:v>0.03</x:v>
      </x:c>
      <x:c r="H75" s="37">
        <x:v>4949.5</x:v>
      </x:c>
      <x:c r="I75" s="37">
        <x:v>4801.01</x:v>
      </x:c>
      <x:c r="J75" s="34">
        <x:v>46097</x:v>
      </x:c>
      <x:c r="K75" s="34">
        <x:v>46102</x:v>
      </x:c>
      <x:c r="L75" s="12" t="s">
        <x:v>28</x:v>
      </x:c>
      <x:c r="M75" s="37">
        <x:v>3445.46</x:v>
      </x:c>
      <x:c r="N75" s="37">
        <x:v>134.06</x:v>
      </x:c>
      <x:c r="O75" s="36" t="n">
        <x:f t="shared" si="13">IF(OR(B75="",J75=""),"",J75-B75)</x:f>
        <x:v>8</x:v>
      </x:c>
      <x:c r="P75" s="36" t="n">
        <x:f t="shared" ca="1" si="9">IF(L75="Cancelado","",IF(L75="Entregue",IF(K75="","",MAX(0,K75-J75)),MAX(0,TODAY()-J75)))</x:f>
        <x:v>5</x:v>
      </x:c>
      <x:c r="Q75" s="12" t="str">
        <x:f t="shared" ca="1" si="10">IF(L75="Cancelado","Cancelado",IF(L75="Entregue",IF(P75&gt;0,"Entregue com atraso","Entregue no prazo"),IF(P75&gt;0,"Atrasado","Dentro do prazo")))</x:f>
        <x:v>Entregue com atraso</x:v>
      </x:c>
      <x:c r="R75" s="37" t="n">
        <x:f t="shared" ca="1" si="11">IF(OR(M75="",N75=""),"",ROUND(M75+N75,2))</x:f>
        <x:v>3579.52</x:v>
      </x:c>
      <x:c r="S75" s="37" t="n">
        <x:f t="shared" si="12">IF(OR(I75="",R75=""),"",ROUND(I75-R75,2))</x:f>
        <x:v>1221.49</x:v>
      </x:c>
    </x:row>
    <x:row r="76">
      <x:c r="A76" s="12" t="s">
        <x:v>243</x:v>
      </x:c>
      <x:c r="B76" s="34">
        <x:v>46034</x:v>
      </x:c>
      <x:c r="C76" s="12" t="s">
        <x:v>217</x:v>
      </x:c>
      <x:c r="D76" s="12" t="s">
        <x:v>104</x:v>
      </x:c>
      <x:c r="E76" s="12">
        <x:v>3</x:v>
      </x:c>
      <x:c r="F76" s="37">
        <x:v>699.9</x:v>
      </x:c>
      <x:c r="G76" s="38">
        <x:v>0.03</x:v>
      </x:c>
      <x:c r="H76" s="37">
        <x:v>2099.6999999999998</x:v>
      </x:c>
      <x:c r="I76" s="37">
        <x:v>2036.71</x:v>
      </x:c>
      <x:c r="J76" s="34">
        <x:v>46042</x:v>
      </x:c>
      <x:c r="K76" s="34">
        <x:v>46042</x:v>
      </x:c>
      <x:c r="L76" s="12" t="s">
        <x:v>28</x:v>
      </x:c>
      <x:c r="M76" s="37">
        <x:v>1373.67</x:v>
      </x:c>
      <x:c r="N76" s="37">
        <x:v>251.88</x:v>
      </x:c>
      <x:c r="O76" s="36" t="n">
        <x:f t="shared" si="13">IF(OR(B76="",J76=""),"",J76-B76)</x:f>
        <x:v>8</x:v>
      </x:c>
      <x:c r="P76" s="36" t="n">
        <x:f t="shared" ca="1" si="9">IF(L76="Cancelado","",IF(L76="Entregue",IF(K76="","",MAX(0,K76-J76)),MAX(0,TODAY()-J76)))</x:f>
        <x:v>0</x:v>
      </x:c>
      <x:c r="Q76" s="12" t="str">
        <x:f t="shared" ca="1" si="10">IF(L76="Cancelado","Cancelado",IF(L76="Entregue",IF(P76&gt;0,"Entregue com atraso","Entregue no prazo"),IF(P76&gt;0,"Atrasado","Dentro do prazo")))</x:f>
        <x:v>Entregue no prazo</x:v>
      </x:c>
      <x:c r="R76" s="37" t="n">
        <x:f t="shared" ca="1" si="11">IF(OR(M76="",N76=""),"",ROUND(M76+N76,2))</x:f>
        <x:v>1625.55</x:v>
      </x:c>
      <x:c r="S76" s="37" t="n">
        <x:f t="shared" si="12">IF(OR(I76="",R76=""),"",ROUND(I76-R76,2))</x:f>
        <x:v>411.16</x:v>
      </x:c>
    </x:row>
    <x:row r="77">
      <x:c r="A77" s="12" t="s">
        <x:v>244</x:v>
      </x:c>
      <x:c r="B77" s="34">
        <x:v>46206</x:v>
      </x:c>
      <x:c r="C77" s="12" t="s">
        <x:v>122</x:v>
      </x:c>
      <x:c r="D77" s="12" t="s">
        <x:v>124</x:v>
      </x:c>
      <x:c r="E77" s="12">
        <x:v>1</x:v>
      </x:c>
      <x:c r="F77" s="37">
        <x:v>579.9</x:v>
      </x:c>
      <x:c r="G77" s="38">
        <x:v>0.05</x:v>
      </x:c>
      <x:c r="H77" s="37">
        <x:v>579.9</x:v>
      </x:c>
      <x:c r="I77" s="37">
        <x:v>550.9</x:v>
      </x:c>
      <x:c r="J77" s="34">
        <x:v>46214</x:v>
      </x:c>
      <x:c r="K77" s="34">
        <x:v>46215</x:v>
      </x:c>
      <x:c r="L77" s="12" t="s">
        <x:v>28</x:v>
      </x:c>
      <x:c r="M77" s="37">
        <x:v>384.62</x:v>
      </x:c>
      <x:c r="N77" s="37">
        <x:v>223.17</x:v>
      </x:c>
      <x:c r="O77" s="36" t="n">
        <x:f t="shared" si="13">IF(OR(B77="",J77=""),"",J77-B77)</x:f>
        <x:v>8</x:v>
      </x:c>
      <x:c r="P77" s="36" t="n">
        <x:f t="shared" ca="1" si="9">IF(L77="Cancelado","",IF(L77="Entregue",IF(K77="","",MAX(0,K77-J77)),MAX(0,TODAY()-J77)))</x:f>
        <x:v>1</x:v>
      </x:c>
      <x:c r="Q77" s="12" t="str">
        <x:f t="shared" ca="1" si="10">IF(L77="Cancelado","Cancelado",IF(L77="Entregue",IF(P77&gt;0,"Entregue com atraso","Entregue no prazo"),IF(P77&gt;0,"Atrasado","Dentro do prazo")))</x:f>
        <x:v>Entregue com atraso</x:v>
      </x:c>
      <x:c r="R77" s="37" t="n">
        <x:f t="shared" ca="1" si="11">IF(OR(M77="",N77=""),"",ROUND(M77+N77,2))</x:f>
        <x:v>607.79</x:v>
      </x:c>
      <x:c r="S77" s="37" t="n">
        <x:f t="shared" si="12">IF(OR(I77="",R77=""),"",ROUND(I77-R77,2))</x:f>
        <x:v>-56.89</x:v>
      </x:c>
    </x:row>
    <x:row r="78">
      <x:c r="A78" s="12" t="s">
        <x:v>245</x:v>
      </x:c>
      <x:c r="B78" s="34">
        <x:v>46203</x:v>
      </x:c>
      <x:c r="C78" s="12" t="s">
        <x:v>217</x:v>
      </x:c>
      <x:c r="D78" s="12" t="s">
        <x:v>111</x:v>
      </x:c>
      <x:c r="E78" s="12">
        <x:v>8</x:v>
      </x:c>
      <x:c r="F78" s="37">
        <x:v>599.9</x:v>
      </x:c>
      <x:c r="G78" s="38">
        <x:v>0</x:v>
      </x:c>
      <x:c r="H78" s="37">
        <x:v>4799.2</x:v>
      </x:c>
      <x:c r="I78" s="37">
        <x:v>4799.2</x:v>
      </x:c>
      <x:c r="J78" s="34">
        <x:v>46209</x:v>
      </x:c>
      <x:c r="K78" s="34">
        <x:v>46210</x:v>
      </x:c>
      <x:c r="L78" s="12" t="s">
        <x:v>28</x:v>
      </x:c>
      <x:c r="M78" s="37">
        <x:v>3506.71</x:v>
      </x:c>
      <x:c r="N78" s="37">
        <x:v>116.96</x:v>
      </x:c>
      <x:c r="O78" s="36" t="n">
        <x:f t="shared" si="13">IF(OR(B78="",J78=""),"",J78-B78)</x:f>
        <x:v>6</x:v>
      </x:c>
      <x:c r="P78" s="36" t="n">
        <x:f t="shared" ca="1" si="9">IF(L78="Cancelado","",IF(L78="Entregue",IF(K78="","",MAX(0,K78-J78)),MAX(0,TODAY()-J78)))</x:f>
        <x:v>1</x:v>
      </x:c>
      <x:c r="Q78" s="12" t="str">
        <x:f t="shared" ca="1" si="10">IF(L78="Cancelado","Cancelado",IF(L78="Entregue",IF(P78&gt;0,"Entregue com atraso","Entregue no prazo"),IF(P78&gt;0,"Atrasado","Dentro do prazo")))</x:f>
        <x:v>Entregue com atraso</x:v>
      </x:c>
      <x:c r="R78" s="37" t="n">
        <x:f t="shared" ca="1" si="11">IF(OR(M78="",N78=""),"",ROUND(M78+N78,2))</x:f>
        <x:v>3623.67</x:v>
      </x:c>
      <x:c r="S78" s="37" t="n">
        <x:f t="shared" si="12">IF(OR(I78="",R78=""),"",ROUND(I78-R78,2))</x:f>
        <x:v>1175.53</x:v>
      </x:c>
    </x:row>
    <x:row r="79">
      <x:c r="A79" s="12" t="s">
        <x:v>246</x:v>
      </x:c>
      <x:c r="B79" s="34">
        <x:v>46175</x:v>
      </x:c>
      <x:c r="C79" s="12" t="s">
        <x:v>86</x:v>
      </x:c>
      <x:c r="D79" s="12" t="s">
        <x:v>111</x:v>
      </x:c>
      <x:c r="E79" s="12">
        <x:v>6</x:v>
      </x:c>
      <x:c r="F79" s="37">
        <x:v>599.9</x:v>
      </x:c>
      <x:c r="G79" s="38">
        <x:v>0.03</x:v>
      </x:c>
      <x:c r="H79" s="37">
        <x:v>3599.4</x:v>
      </x:c>
      <x:c r="I79" s="37">
        <x:v>3491.42</x:v>
      </x:c>
      <x:c r="J79" s="34">
        <x:v>46188</x:v>
      </x:c>
      <x:c r="K79" s="34">
        <x:v>46190</x:v>
      </x:c>
      <x:c r="L79" s="12" t="s">
        <x:v>28</x:v>
      </x:c>
      <x:c r="M79" s="37">
        <x:v>2316.02</x:v>
      </x:c>
      <x:c r="N79" s="37">
        <x:v>104.08</x:v>
      </x:c>
      <x:c r="O79" s="36" t="n">
        <x:f t="shared" si="13">IF(OR(B79="",J79=""),"",J79-B79)</x:f>
        <x:v>13</x:v>
      </x:c>
      <x:c r="P79" s="36" t="n">
        <x:f t="shared" ca="1" si="9">IF(L79="Cancelado","",IF(L79="Entregue",IF(K79="","",MAX(0,K79-J79)),MAX(0,TODAY()-J79)))</x:f>
        <x:v>2</x:v>
      </x:c>
      <x:c r="Q79" s="12" t="str">
        <x:f t="shared" ca="1" si="10">IF(L79="Cancelado","Cancelado",IF(L79="Entregue",IF(P79&gt;0,"Entregue com atraso","Entregue no prazo"),IF(P79&gt;0,"Atrasado","Dentro do prazo")))</x:f>
        <x:v>Entregue com atraso</x:v>
      </x:c>
      <x:c r="R79" s="37" t="n">
        <x:f t="shared" ca="1" si="11">IF(OR(M79="",N79=""),"",ROUND(M79+N79,2))</x:f>
        <x:v>2420.1</x:v>
      </x:c>
      <x:c r="S79" s="37" t="n">
        <x:f t="shared" si="12">IF(OR(I79="",R79=""),"",ROUND(I79-R79,2))</x:f>
        <x:v>1071.32</x:v>
      </x:c>
    </x:row>
    <x:row r="80">
      <x:c r="A80" s="12" t="s">
        <x:v>247</x:v>
      </x:c>
      <x:c r="B80" s="34">
        <x:v>46057</x:v>
      </x:c>
      <x:c r="C80" s="12" t="s">
        <x:v>107</x:v>
      </x:c>
      <x:c r="D80" s="12" t="s">
        <x:v>147</x:v>
      </x:c>
      <x:c r="E80" s="12">
        <x:v>6</x:v>
      </x:c>
      <x:c r="F80" s="37">
        <x:v>459.9</x:v>
      </x:c>
      <x:c r="G80" s="38">
        <x:v>0</x:v>
      </x:c>
      <x:c r="H80" s="37">
        <x:v>2759.4</x:v>
      </x:c>
      <x:c r="I80" s="37">
        <x:v>2759.4</x:v>
      </x:c>
      <x:c r="J80" s="34">
        <x:v>46070</x:v>
      </x:c>
      <x:c r="K80" s="34"/>
      <x:c r="L80" s="12" t="s">
        <x:v>29</x:v>
      </x:c>
      <x:c r="M80" s="37">
        <x:v>2015.54</x:v>
      </x:c>
      <x:c r="N80" s="37">
        <x:v>90.01</x:v>
      </x:c>
      <x:c r="O80" s="36" t="n">
        <x:f t="shared" si="13">IF(OR(B80="",J80=""),"",J80-B80)</x:f>
        <x:v>13</x:v>
      </x:c>
      <x:c r="P80" s="36" t="str">
        <x:f t="shared" ca="1" si="9">IF(L80="Cancelado","",IF(L80="Entregue",IF(K80="","",MAX(0,K80-J80)),MAX(0,TODAY()-J80)))</x:f>
      </x:c>
      <x:c r="Q80" s="12" t="str">
        <x:f t="shared" ca="1" si="10">IF(L80="Cancelado","Cancelado",IF(L80="Entregue",IF(P80&gt;0,"Entregue com atraso","Entregue no prazo"),IF(P80&gt;0,"Atrasado","Dentro do prazo")))</x:f>
        <x:v>Cancelado</x:v>
      </x:c>
      <x:c r="R80" s="37" t="n">
        <x:f t="shared" ca="1" si="11">IF(OR(M80="",N80=""),"",ROUND(M80+N80,2))</x:f>
        <x:v>2105.55</x:v>
      </x:c>
      <x:c r="S80" s="37" t="n">
        <x:f t="shared" si="12">IF(OR(I80="",R80=""),"",ROUND(I80-R80,2))</x:f>
        <x:v>653.85</x:v>
      </x:c>
    </x:row>
    <x:row r="81">
      <x:c r="A81" s="12" t="s">
        <x:v>248</x:v>
      </x:c>
      <x:c r="B81" s="34">
        <x:v>46216</x:v>
      </x:c>
      <x:c r="C81" s="12" t="s">
        <x:v>217</x:v>
      </x:c>
      <x:c r="D81" s="12" t="s">
        <x:v>124</x:v>
      </x:c>
      <x:c r="E81" s="12">
        <x:v>5</x:v>
      </x:c>
      <x:c r="F81" s="37">
        <x:v>579.9</x:v>
      </x:c>
      <x:c r="G81" s="38">
        <x:v>0</x:v>
      </x:c>
      <x:c r="H81" s="37">
        <x:v>2899.5</x:v>
      </x:c>
      <x:c r="I81" s="37">
        <x:v>2899.5</x:v>
      </x:c>
      <x:c r="J81" s="34">
        <x:v>46224</x:v>
      </x:c>
      <x:c r="K81" s="34">
        <x:v>46224</x:v>
      </x:c>
      <x:c r="L81" s="12" t="s">
        <x:v>28</x:v>
      </x:c>
      <x:c r="M81" s="37">
        <x:v>1880.94</x:v>
      </x:c>
      <x:c r="N81" s="37">
        <x:v>48.32</x:v>
      </x:c>
      <x:c r="O81" s="36" t="n">
        <x:f t="shared" si="13">IF(OR(B81="",J81=""),"",J81-B81)</x:f>
        <x:v>8</x:v>
      </x:c>
      <x:c r="P81" s="36" t="n">
        <x:f t="shared" ca="1" si="9">IF(L81="Cancelado","",IF(L81="Entregue",IF(K81="","",MAX(0,K81-J81)),MAX(0,TODAY()-J81)))</x:f>
        <x:v>0</x:v>
      </x:c>
      <x:c r="Q81" s="12" t="str">
        <x:f t="shared" ca="1" si="10">IF(L81="Cancelado","Cancelado",IF(L81="Entregue",IF(P81&gt;0,"Entregue com atraso","Entregue no prazo"),IF(P81&gt;0,"Atrasado","Dentro do prazo")))</x:f>
        <x:v>Entregue no prazo</x:v>
      </x:c>
      <x:c r="R81" s="37" t="n">
        <x:f t="shared" ca="1" si="11">IF(OR(M81="",N81=""),"",ROUND(M81+N81,2))</x:f>
        <x:v>1929.26</x:v>
      </x:c>
      <x:c r="S81" s="37" t="n">
        <x:f t="shared" si="12">IF(OR(I81="",R81=""),"",ROUND(I81-R81,2))</x:f>
        <x:v>970.24</x:v>
      </x:c>
    </x:row>
    <x:row r="82">
      <x:c r="A82" s="12" t="s">
        <x:v>249</x:v>
      </x:c>
      <x:c r="B82" s="34">
        <x:v>46163</x:v>
      </x:c>
      <x:c r="C82" s="12" t="s">
        <x:v>142</x:v>
      </x:c>
      <x:c r="D82" s="12" t="s">
        <x:v>124</x:v>
      </x:c>
      <x:c r="E82" s="12">
        <x:v>1</x:v>
      </x:c>
      <x:c r="F82" s="37">
        <x:v>579.9</x:v>
      </x:c>
      <x:c r="G82" s="38">
        <x:v>0</x:v>
      </x:c>
      <x:c r="H82" s="37">
        <x:v>579.9</x:v>
      </x:c>
      <x:c r="I82" s="37">
        <x:v>579.9</x:v>
      </x:c>
      <x:c r="J82" s="34">
        <x:v>46176</x:v>
      </x:c>
      <x:c r="K82" s="34">
        <x:v>46175</x:v>
      </x:c>
      <x:c r="L82" s="12" t="s">
        <x:v>28</x:v>
      </x:c>
      <x:c r="M82" s="37">
        <x:v>418.72</x:v>
      </x:c>
      <x:c r="N82" s="37">
        <x:v>221.91</x:v>
      </x:c>
      <x:c r="O82" s="36" t="n">
        <x:f t="shared" si="13">IF(OR(B82="",J82=""),"",J82-B82)</x:f>
        <x:v>13</x:v>
      </x:c>
      <x:c r="P82" s="36" t="n">
        <x:f t="shared" ca="1" si="9">IF(L82="Cancelado","",IF(L82="Entregue",IF(K82="","",MAX(0,K82-J82)),MAX(0,TODAY()-J82)))</x:f>
        <x:v>0</x:v>
      </x:c>
      <x:c r="Q82" s="12" t="str">
        <x:f t="shared" ca="1" si="10">IF(L82="Cancelado","Cancelado",IF(L82="Entregue",IF(P82&gt;0,"Entregue com atraso","Entregue no prazo"),IF(P82&gt;0,"Atrasado","Dentro do prazo")))</x:f>
        <x:v>Entregue no prazo</x:v>
      </x:c>
      <x:c r="R82" s="37" t="n">
        <x:f t="shared" ca="1" si="11">IF(OR(M82="",N82=""),"",ROUND(M82+N82,2))</x:f>
        <x:v>640.63</x:v>
      </x:c>
      <x:c r="S82" s="37" t="n">
        <x:f t="shared" si="12">IF(OR(I82="",R82=""),"",ROUND(I82-R82,2))</x:f>
        <x:v>-60.73</x:v>
      </x:c>
    </x:row>
    <x:row r="83">
      <x:c r="A83" s="12" t="s">
        <x:v>250</x:v>
      </x:c>
      <x:c r="B83" s="34">
        <x:v>46053</x:v>
      </x:c>
      <x:c r="C83" s="12" t="s">
        <x:v>162</x:v>
      </x:c>
      <x:c r="D83" s="12" t="s">
        <x:v>66</x:v>
      </x:c>
      <x:c r="E83" s="12">
        <x:v>5</x:v>
      </x:c>
      <x:c r="F83" s="37">
        <x:v>389.9</x:v>
      </x:c>
      <x:c r="G83" s="38">
        <x:v>0.03</x:v>
      </x:c>
      <x:c r="H83" s="37">
        <x:v>1949.5</x:v>
      </x:c>
      <x:c r="I83" s="37">
        <x:v>1891.01</x:v>
      </x:c>
      <x:c r="J83" s="34">
        <x:v>46065</x:v>
      </x:c>
      <x:c r="K83" s="34">
        <x:v>46064</x:v>
      </x:c>
      <x:c r="L83" s="12" t="s">
        <x:v>28</x:v>
      </x:c>
      <x:c r="M83" s="37">
        <x:v>1464.55</x:v>
      </x:c>
      <x:c r="N83" s="37">
        <x:v>104.33</x:v>
      </x:c>
      <x:c r="O83" s="36" t="n">
        <x:f t="shared" si="13">IF(OR(B83="",J83=""),"",J83-B83)</x:f>
        <x:v>12</x:v>
      </x:c>
      <x:c r="P83" s="36" t="n">
        <x:f t="shared" ca="1" si="9">IF(L83="Cancelado","",IF(L83="Entregue",IF(K83="","",MAX(0,K83-J83)),MAX(0,TODAY()-J83)))</x:f>
        <x:v>0</x:v>
      </x:c>
      <x:c r="Q83" s="12" t="str">
        <x:f t="shared" ca="1" si="10">IF(L83="Cancelado","Cancelado",IF(L83="Entregue",IF(P83&gt;0,"Entregue com atraso","Entregue no prazo"),IF(P83&gt;0,"Atrasado","Dentro do prazo")))</x:f>
        <x:v>Entregue no prazo</x:v>
      </x:c>
      <x:c r="R83" s="37" t="n">
        <x:f t="shared" ca="1" si="11">IF(OR(M83="",N83=""),"",ROUND(M83+N83,2))</x:f>
        <x:v>1568.88</x:v>
      </x:c>
      <x:c r="S83" s="37" t="n">
        <x:f t="shared" si="12">IF(OR(I83="",R83=""),"",ROUND(I83-R83,2))</x:f>
        <x:v>322.13</x:v>
      </x:c>
    </x:row>
    <x:row r="84">
      <x:c r="A84" s="12" t="s">
        <x:v>251</x:v>
      </x:c>
      <x:c r="B84" s="34">
        <x:v>46247</x:v>
      </x:c>
      <x:c r="C84" s="12" t="s">
        <x:v>217</x:v>
      </x:c>
      <x:c r="D84" s="12" t="s">
        <x:v>159</x:v>
      </x:c>
      <x:c r="E84" s="12">
        <x:v>2</x:v>
      </x:c>
      <x:c r="F84" s="37">
        <x:v>329.9</x:v>
      </x:c>
      <x:c r="G84" s="38">
        <x:v>0.03</x:v>
      </x:c>
      <x:c r="H84" s="37">
        <x:v>659.8</x:v>
      </x:c>
      <x:c r="I84" s="37">
        <x:v>640.01</x:v>
      </x:c>
      <x:c r="J84" s="34">
        <x:v>46259</x:v>
      </x:c>
      <x:c r="K84" s="34">
        <x:v>46266</x:v>
      </x:c>
      <x:c r="L84" s="12" t="s">
        <x:v>28</x:v>
      </x:c>
      <x:c r="M84" s="37">
        <x:v>467.1</x:v>
      </x:c>
      <x:c r="N84" s="37">
        <x:v>80.66</x:v>
      </x:c>
      <x:c r="O84" s="36" t="n">
        <x:f t="shared" si="13">IF(OR(B84="",J84=""),"",J84-B84)</x:f>
        <x:v>12</x:v>
      </x:c>
      <x:c r="P84" s="36" t="n">
        <x:f t="shared" ca="1" si="9">IF(L84="Cancelado","",IF(L84="Entregue",IF(K84="","",MAX(0,K84-J84)),MAX(0,TODAY()-J84)))</x:f>
        <x:v>7</x:v>
      </x:c>
      <x:c r="Q84" s="12" t="str">
        <x:f t="shared" ca="1" si="10">IF(L84="Cancelado","Cancelado",IF(L84="Entregue",IF(P84&gt;0,"Entregue com atraso","Entregue no prazo"),IF(P84&gt;0,"Atrasado","Dentro do prazo")))</x:f>
        <x:v>Entregue com atraso</x:v>
      </x:c>
      <x:c r="R84" s="37" t="n">
        <x:f t="shared" ca="1" si="11">IF(OR(M84="",N84=""),"",ROUND(M84+N84,2))</x:f>
        <x:v>547.76</x:v>
      </x:c>
      <x:c r="S84" s="37" t="n">
        <x:f t="shared" si="12">IF(OR(I84="",R84=""),"",ROUND(I84-R84,2))</x:f>
        <x:v>92.25</x:v>
      </x:c>
    </x:row>
    <x:row r="85">
      <x:c r="A85" s="12" t="s">
        <x:v>252</x:v>
      </x:c>
      <x:c r="B85" s="34">
        <x:v>46234</x:v>
      </x:c>
      <x:c r="C85" s="12" t="s">
        <x:v>177</x:v>
      </x:c>
      <x:c r="D85" s="12" t="s">
        <x:v>182</x:v>
      </x:c>
      <x:c r="E85" s="12">
        <x:v>2</x:v>
      </x:c>
      <x:c r="F85" s="37">
        <x:v>1099.9000000000001</x:v>
      </x:c>
      <x:c r="G85" s="38">
        <x:v>0</x:v>
      </x:c>
      <x:c r="H85" s="37">
        <x:v>2199.8000000000002</x:v>
      </x:c>
      <x:c r="I85" s="37">
        <x:v>2199.8000000000002</x:v>
      </x:c>
      <x:c r="J85" s="34">
        <x:v>46240</x:v>
      </x:c>
      <x:c r="K85" s="34">
        <x:v>46241</x:v>
      </x:c>
      <x:c r="L85" s="12" t="s">
        <x:v>28</x:v>
      </x:c>
      <x:c r="M85" s="37">
        <x:v>1577.28</x:v>
      </x:c>
      <x:c r="N85" s="37">
        <x:v>230.82</x:v>
      </x:c>
      <x:c r="O85" s="36" t="n">
        <x:f t="shared" si="13">IF(OR(B85="",J85=""),"",J85-B85)</x:f>
        <x:v>6</x:v>
      </x:c>
      <x:c r="P85" s="36" t="n">
        <x:f t="shared" ca="1" si="9">IF(L85="Cancelado","",IF(L85="Entregue",IF(K85="","",MAX(0,K85-J85)),MAX(0,TODAY()-J85)))</x:f>
        <x:v>1</x:v>
      </x:c>
      <x:c r="Q85" s="12" t="str">
        <x:f t="shared" ca="1" si="10">IF(L85="Cancelado","Cancelado",IF(L85="Entregue",IF(P85&gt;0,"Entregue com atraso","Entregue no prazo"),IF(P85&gt;0,"Atrasado","Dentro do prazo")))</x:f>
        <x:v>Entregue com atraso</x:v>
      </x:c>
      <x:c r="R85" s="37" t="n">
        <x:f t="shared" ca="1" si="11">IF(OR(M85="",N85=""),"",ROUND(M85+N85,2))</x:f>
        <x:v>1808.1</x:v>
      </x:c>
      <x:c r="S85" s="37" t="n">
        <x:f t="shared" si="12">IF(OR(I85="",R85=""),"",ROUND(I85-R85,2))</x:f>
        <x:v>391.7</x:v>
      </x:c>
    </x:row>
    <x:row r="86">
      <x:c r="A86" s="12" t="s">
        <x:v>253</x:v>
      </x:c>
      <x:c r="B86" s="34">
        <x:v>46084</x:v>
      </x:c>
      <x:c r="C86" s="12" t="s">
        <x:v>145</x:v>
      </x:c>
      <x:c r="D86" s="12" t="s">
        <x:v>173</x:v>
      </x:c>
      <x:c r="E86" s="12">
        <x:v>7</x:v>
      </x:c>
      <x:c r="F86" s="37">
        <x:v>289.89999999999998</x:v>
      </x:c>
      <x:c r="G86" s="38">
        <x:v>0.03</x:v>
      </x:c>
      <x:c r="H86" s="37">
        <x:v>2029.3</x:v>
      </x:c>
      <x:c r="I86" s="37">
        <x:v>1968.42</x:v>
      </x:c>
      <x:c r="J86" s="34">
        <x:v>46096</x:v>
      </x:c>
      <x:c r="K86" s="34">
        <x:v>46101</x:v>
      </x:c>
      <x:c r="L86" s="12" t="s">
        <x:v>28</x:v>
      </x:c>
      <x:c r="M86" s="37">
        <x:v>1532.23</x:v>
      </x:c>
      <x:c r="N86" s="37">
        <x:v>116.76</x:v>
      </x:c>
      <x:c r="O86" s="36" t="n">
        <x:f t="shared" si="13">IF(OR(B86="",J86=""),"",J86-B86)</x:f>
        <x:v>12</x:v>
      </x:c>
      <x:c r="P86" s="36" t="n">
        <x:f t="shared" ca="1" si="9">IF(L86="Cancelado","",IF(L86="Entregue",IF(K86="","",MAX(0,K86-J86)),MAX(0,TODAY()-J86)))</x:f>
        <x:v>5</x:v>
      </x:c>
      <x:c r="Q86" s="12" t="str">
        <x:f t="shared" ca="1" si="10">IF(L86="Cancelado","Cancelado",IF(L86="Entregue",IF(P86&gt;0,"Entregue com atraso","Entregue no prazo"),IF(P86&gt;0,"Atrasado","Dentro do prazo")))</x:f>
        <x:v>Entregue com atraso</x:v>
      </x:c>
      <x:c r="R86" s="37" t="n">
        <x:f t="shared" ca="1" si="11">IF(OR(M86="",N86=""),"",ROUND(M86+N86,2))</x:f>
        <x:v>1648.99</x:v>
      </x:c>
      <x:c r="S86" s="37" t="n">
        <x:f t="shared" si="12">IF(OR(I86="",R86=""),"",ROUND(I86-R86,2))</x:f>
        <x:v>319.43</x:v>
      </x:c>
    </x:row>
    <x:row r="87">
      <x:c r="A87" s="12" t="s">
        <x:v>254</x:v>
      </x:c>
      <x:c r="B87" s="34">
        <x:v>46185</x:v>
      </x:c>
      <x:c r="C87" s="12" t="s">
        <x:v>79</x:v>
      </x:c>
      <x:c r="D87" s="12" t="s">
        <x:v>60</x:v>
      </x:c>
      <x:c r="E87" s="12">
        <x:v>2</x:v>
      </x:c>
      <x:c r="F87" s="37">
        <x:v>849.9</x:v>
      </x:c>
      <x:c r="G87" s="38">
        <x:v>0</x:v>
      </x:c>
      <x:c r="H87" s="37">
        <x:v>1699.8</x:v>
      </x:c>
      <x:c r="I87" s="37">
        <x:v>1699.8</x:v>
      </x:c>
      <x:c r="J87" s="34">
        <x:v>46200</x:v>
      </x:c>
      <x:c r="K87" s="34">
        <x:v>46207</x:v>
      </x:c>
      <x:c r="L87" s="12" t="s">
        <x:v>28</x:v>
      </x:c>
      <x:c r="M87" s="37">
        <x:v>1075.96</x:v>
      </x:c>
      <x:c r="N87" s="37">
        <x:v>101.37</x:v>
      </x:c>
      <x:c r="O87" s="36" t="n">
        <x:f t="shared" si="13">IF(OR(B87="",J87=""),"",J87-B87)</x:f>
        <x:v>15</x:v>
      </x:c>
      <x:c r="P87" s="36" t="n">
        <x:f t="shared" ca="1" si="9">IF(L87="Cancelado","",IF(L87="Entregue",IF(K87="","",MAX(0,K87-J87)),MAX(0,TODAY()-J87)))</x:f>
        <x:v>7</x:v>
      </x:c>
      <x:c r="Q87" s="12" t="str">
        <x:f t="shared" ca="1" si="10">IF(L87="Cancelado","Cancelado",IF(L87="Entregue",IF(P87&gt;0,"Entregue com atraso","Entregue no prazo"),IF(P87&gt;0,"Atrasado","Dentro do prazo")))</x:f>
        <x:v>Entregue com atraso</x:v>
      </x:c>
      <x:c r="R87" s="37" t="n">
        <x:f t="shared" ca="1" si="11">IF(OR(M87="",N87=""),"",ROUND(M87+N87,2))</x:f>
        <x:v>1177.33</x:v>
      </x:c>
      <x:c r="S87" s="37" t="n">
        <x:f t="shared" si="12">IF(OR(I87="",R87=""),"",ROUND(I87-R87,2))</x:f>
        <x:v>522.47</x:v>
      </x:c>
    </x:row>
    <x:row r="88">
      <x:c r="A88" s="12" t="s">
        <x:v>255</x:v>
      </x:c>
      <x:c r="B88" s="34">
        <x:v>46168</x:v>
      </x:c>
      <x:c r="C88" s="12" t="s">
        <x:v>69</x:v>
      </x:c>
      <x:c r="D88" s="12" t="s">
        <x:v>88</x:v>
      </x:c>
      <x:c r="E88" s="12">
        <x:v>1</x:v>
      </x:c>
      <x:c r="F88" s="37">
        <x:v>649.9</x:v>
      </x:c>
      <x:c r="G88" s="38">
        <x:v>0.03</x:v>
      </x:c>
      <x:c r="H88" s="37">
        <x:v>649.9</x:v>
      </x:c>
      <x:c r="I88" s="37">
        <x:v>630.4</x:v>
      </x:c>
      <x:c r="J88" s="34">
        <x:v>46180</x:v>
      </x:c>
      <x:c r="K88" s="34">
        <x:v>46182</x:v>
      </x:c>
      <x:c r="L88" s="12" t="s">
        <x:v>28</x:v>
      </x:c>
      <x:c r="M88" s="37">
        <x:v>420.23</x:v>
      </x:c>
      <x:c r="N88" s="37">
        <x:v>99.4</x:v>
      </x:c>
      <x:c r="O88" s="36" t="n">
        <x:f t="shared" si="13">IF(OR(B88="",J88=""),"",J88-B88)</x:f>
        <x:v>12</x:v>
      </x:c>
      <x:c r="P88" s="36" t="n">
        <x:f t="shared" ca="1" si="9">IF(L88="Cancelado","",IF(L88="Entregue",IF(K88="","",MAX(0,K88-J88)),MAX(0,TODAY()-J88)))</x:f>
        <x:v>2</x:v>
      </x:c>
      <x:c r="Q88" s="12" t="str">
        <x:f t="shared" ca="1" si="10">IF(L88="Cancelado","Cancelado",IF(L88="Entregue",IF(P88&gt;0,"Entregue com atraso","Entregue no prazo"),IF(P88&gt;0,"Atrasado","Dentro do prazo")))</x:f>
        <x:v>Entregue com atraso</x:v>
      </x:c>
      <x:c r="R88" s="37" t="n">
        <x:f t="shared" ca="1" si="11">IF(OR(M88="",N88=""),"",ROUND(M88+N88,2))</x:f>
        <x:v>519.63</x:v>
      </x:c>
      <x:c r="S88" s="37" t="n">
        <x:f t="shared" si="12">IF(OR(I88="",R88=""),"",ROUND(I88-R88,2))</x:f>
        <x:v>110.77</x:v>
      </x:c>
    </x:row>
    <x:row r="89">
      <x:c r="A89" s="12" t="s">
        <x:v>256</x:v>
      </x:c>
      <x:c r="B89" s="34">
        <x:v>46207</x:v>
      </x:c>
      <x:c r="C89" s="12" t="s">
        <x:v>168</x:v>
      </x:c>
      <x:c r="D89" s="12" t="s">
        <x:v>221</x:v>
      </x:c>
      <x:c r="E89" s="12">
        <x:v>2</x:v>
      </x:c>
      <x:c r="F89" s="37">
        <x:v>499.9</x:v>
      </x:c>
      <x:c r="G89" s="38">
        <x:v>0.08</x:v>
      </x:c>
      <x:c r="H89" s="37">
        <x:v>999.8</x:v>
      </x:c>
      <x:c r="I89" s="37">
        <x:v>919.82</x:v>
      </x:c>
      <x:c r="J89" s="34">
        <x:v>46215</x:v>
      </x:c>
      <x:c r="K89" s="34"/>
      <x:c r="L89" s="12" t="s">
        <x:v>27</x:v>
      </x:c>
      <x:c r="M89" s="37">
        <x:v>686.23</x:v>
      </x:c>
      <x:c r="N89" s="37">
        <x:v>191.89</x:v>
      </x:c>
      <x:c r="O89" s="36" t="n">
        <x:f t="shared" si="13">IF(OR(B89="",J89=""),"",J89-B89)</x:f>
        <x:v>8</x:v>
      </x:c>
      <x:c r="P89" s="36" t="n">
        <x:f t="shared" ca="1" si="9">IF(L89="Cancelado","",IF(L89="Entregue",IF(K89="","",MAX(0,K89-J89)),MAX(0,TODAY()-J89)))</x:f>
        <x:v>65</x:v>
      </x:c>
      <x:c r="Q89" s="12" t="str">
        <x:f t="shared" ca="1" si="10">IF(L89="Cancelado","Cancelado",IF(L89="Entregue",IF(P89&gt;0,"Entregue com atraso","Entregue no prazo"),IF(P89&gt;0,"Atrasado","Dentro do prazo")))</x:f>
        <x:v>Atrasado</x:v>
      </x:c>
      <x:c r="R89" s="37" t="n">
        <x:f t="shared" ca="1" si="11">IF(OR(M89="",N89=""),"",ROUND(M89+N89,2))</x:f>
        <x:v>878.12</x:v>
      </x:c>
      <x:c r="S89" s="37" t="n">
        <x:f t="shared" si="12">IF(OR(I89="",R89=""),"",ROUND(I89-R89,2))</x:f>
        <x:v>41.7</x:v>
      </x:c>
    </x:row>
    <x:row r="90">
      <x:c r="A90" s="12" t="s">
        <x:v>257</x:v>
      </x:c>
      <x:c r="B90" s="34">
        <x:v>46196</x:v>
      </x:c>
      <x:c r="C90" s="12" t="s">
        <x:v>64</x:v>
      </x:c>
      <x:c r="D90" s="12" t="s">
        <x:v>147</x:v>
      </x:c>
      <x:c r="E90" s="12">
        <x:v>7</x:v>
      </x:c>
      <x:c r="F90" s="37">
        <x:v>459.9</x:v>
      </x:c>
      <x:c r="G90" s="38">
        <x:v>0</x:v>
      </x:c>
      <x:c r="H90" s="37">
        <x:v>3219.3</x:v>
      </x:c>
      <x:c r="I90" s="37">
        <x:v>3219.3</x:v>
      </x:c>
      <x:c r="J90" s="34">
        <x:v>46209</x:v>
      </x:c>
      <x:c r="K90" s="34">
        <x:v>46208</x:v>
      </x:c>
      <x:c r="L90" s="12" t="s">
        <x:v>28</x:v>
      </x:c>
      <x:c r="M90" s="37">
        <x:v>2463.88</x:v>
      </x:c>
      <x:c r="N90" s="37">
        <x:v>239.26</x:v>
      </x:c>
      <x:c r="O90" s="36" t="n">
        <x:f t="shared" si="13">IF(OR(B90="",J90=""),"",J90-B90)</x:f>
        <x:v>13</x:v>
      </x:c>
      <x:c r="P90" s="36" t="n">
        <x:f t="shared" ca="1" si="9">IF(L90="Cancelado","",IF(L90="Entregue",IF(K90="","",MAX(0,K90-J90)),MAX(0,TODAY()-J90)))</x:f>
        <x:v>0</x:v>
      </x:c>
      <x:c r="Q90" s="12" t="str">
        <x:f t="shared" ca="1" si="10">IF(L90="Cancelado","Cancelado",IF(L90="Entregue",IF(P90&gt;0,"Entregue com atraso","Entregue no prazo"),IF(P90&gt;0,"Atrasado","Dentro do prazo")))</x:f>
        <x:v>Entregue no prazo</x:v>
      </x:c>
      <x:c r="R90" s="37" t="n">
        <x:f t="shared" ca="1" si="11">IF(OR(M90="",N90=""),"",ROUND(M90+N90,2))</x:f>
        <x:v>2703.14</x:v>
      </x:c>
      <x:c r="S90" s="37" t="n">
        <x:f t="shared" si="12">IF(OR(I90="",R90=""),"",ROUND(I90-R90,2))</x:f>
        <x:v>516.16</x:v>
      </x:c>
    </x:row>
    <x:row r="91">
      <x:c r="A91" s="12" t="s">
        <x:v>258</x:v>
      </x:c>
      <x:c r="B91" s="34">
        <x:v>46045</x:v>
      </x:c>
      <x:c r="C91" s="12" t="s">
        <x:v>79</x:v>
      </x:c>
      <x:c r="D91" s="12" t="s">
        <x:v>88</x:v>
      </x:c>
      <x:c r="E91" s="12">
        <x:v>5</x:v>
      </x:c>
      <x:c r="F91" s="37">
        <x:v>649.9</x:v>
      </x:c>
      <x:c r="G91" s="38">
        <x:v>0.05</x:v>
      </x:c>
      <x:c r="H91" s="37">
        <x:v>3249.5</x:v>
      </x:c>
      <x:c r="I91" s="37">
        <x:v>3087.02</x:v>
      </x:c>
      <x:c r="J91" s="34">
        <x:v>46059</x:v>
      </x:c>
      <x:c r="K91" s="34"/>
      <x:c r="L91" s="12" t="s">
        <x:v>27</x:v>
      </x:c>
      <x:c r="M91" s="37">
        <x:v>2130.86</x:v>
      </x:c>
      <x:c r="N91" s="37">
        <x:v>155.13999999999999</x:v>
      </x:c>
      <x:c r="O91" s="36" t="n">
        <x:f t="shared" si="13">IF(OR(B91="",J91=""),"",J91-B91)</x:f>
        <x:v>14</x:v>
      </x:c>
      <x:c r="P91" s="36" t="n">
        <x:f t="shared" ca="1" si="9">IF(L91="Cancelado","",IF(L91="Entregue",IF(K91="","",MAX(0,K91-J91)),MAX(0,TODAY()-J91)))</x:f>
        <x:v>221</x:v>
      </x:c>
      <x:c r="Q91" s="12" t="str">
        <x:f t="shared" ca="1" si="10">IF(L91="Cancelado","Cancelado",IF(L91="Entregue",IF(P91&gt;0,"Entregue com atraso","Entregue no prazo"),IF(P91&gt;0,"Atrasado","Dentro do prazo")))</x:f>
        <x:v>Atrasado</x:v>
      </x:c>
      <x:c r="R91" s="37" t="n">
        <x:f t="shared" ca="1" si="11">IF(OR(M91="",N91=""),"",ROUND(M91+N91,2))</x:f>
        <x:v>2286</x:v>
      </x:c>
      <x:c r="S91" s="37" t="n">
        <x:f t="shared" si="12">IF(OR(I91="",R91=""),"",ROUND(I91-R91,2))</x:f>
        <x:v>801.02</x:v>
      </x:c>
    </x:row>
    <x:row r="92">
      <x:c r="A92" s="12" t="s">
        <x:v>259</x:v>
      </x:c>
      <x:c r="B92" s="34">
        <x:v>46104</x:v>
      </x:c>
      <x:c r="C92" s="12" t="s">
        <x:v>101</x:v>
      </x:c>
      <x:c r="D92" s="12" t="s">
        <x:v>72</x:v>
      </x:c>
      <x:c r="E92" s="12">
        <x:v>5</x:v>
      </x:c>
      <x:c r="F92" s="37">
        <x:v>1349.9</x:v>
      </x:c>
      <x:c r="G92" s="38">
        <x:v>0.05</x:v>
      </x:c>
      <x:c r="H92" s="37">
        <x:v>6749.5</x:v>
      </x:c>
      <x:c r="I92" s="37">
        <x:v>6412.02</x:v>
      </x:c>
      <x:c r="J92" s="34">
        <x:v>46117</x:v>
      </x:c>
      <x:c r="K92" s="34">
        <x:v>46115</x:v>
      </x:c>
      <x:c r="L92" s="12" t="s">
        <x:v>28</x:v>
      </x:c>
      <x:c r="M92" s="37">
        <x:v>4588.99</x:v>
      </x:c>
      <x:c r="N92" s="37">
        <x:v>254.01</x:v>
      </x:c>
      <x:c r="O92" s="36" t="n">
        <x:f t="shared" si="13">IF(OR(B92="",J92=""),"",J92-B92)</x:f>
        <x:v>13</x:v>
      </x:c>
      <x:c r="P92" s="36" t="n">
        <x:f t="shared" ca="1" si="9">IF(L92="Cancelado","",IF(L92="Entregue",IF(K92="","",MAX(0,K92-J92)),MAX(0,TODAY()-J92)))</x:f>
        <x:v>0</x:v>
      </x:c>
      <x:c r="Q92" s="12" t="str">
        <x:f t="shared" ca="1" si="10">IF(L92="Cancelado","Cancelado",IF(L92="Entregue",IF(P92&gt;0,"Entregue com atraso","Entregue no prazo"),IF(P92&gt;0,"Atrasado","Dentro do prazo")))</x:f>
        <x:v>Entregue no prazo</x:v>
      </x:c>
      <x:c r="R92" s="37" t="n">
        <x:f t="shared" ca="1" si="11">IF(OR(M92="",N92=""),"",ROUND(M92+N92,2))</x:f>
        <x:v>4843</x:v>
      </x:c>
      <x:c r="S92" s="37" t="n">
        <x:f t="shared" si="12">IF(OR(I92="",R92=""),"",ROUND(I92-R92,2))</x:f>
        <x:v>1569.02</x:v>
      </x:c>
    </x:row>
    <x:row r="93">
      <x:c r="A93" s="12" t="s">
        <x:v>260</x:v>
      </x:c>
      <x:c r="B93" s="34">
        <x:v>46215</x:v>
      </x:c>
      <x:c r="C93" s="12" t="s">
        <x:v>134</x:v>
      </x:c>
      <x:c r="D93" s="12" t="s">
        <x:v>60</x:v>
      </x:c>
      <x:c r="E93" s="12">
        <x:v>5</x:v>
      </x:c>
      <x:c r="F93" s="37">
        <x:v>849.9</x:v>
      </x:c>
      <x:c r="G93" s="38">
        <x:v>0</x:v>
      </x:c>
      <x:c r="H93" s="37">
        <x:v>4249.5</x:v>
      </x:c>
      <x:c r="I93" s="37">
        <x:v>4249.5</x:v>
      </x:c>
      <x:c r="J93" s="34">
        <x:v>46221</x:v>
      </x:c>
      <x:c r="K93" s="34">
        <x:v>46228</x:v>
      </x:c>
      <x:c r="L93" s="12" t="s">
        <x:v>28</x:v>
      </x:c>
      <x:c r="M93" s="37">
        <x:v>3203.07</x:v>
      </x:c>
      <x:c r="N93" s="37">
        <x:v>180.17</x:v>
      </x:c>
      <x:c r="O93" s="36" t="n">
        <x:f t="shared" si="13">IF(OR(B93="",J93=""),"",J93-B93)</x:f>
        <x:v>6</x:v>
      </x:c>
      <x:c r="P93" s="36" t="n">
        <x:f t="shared" ca="1" si="9">IF(L93="Cancelado","",IF(L93="Entregue",IF(K93="","",MAX(0,K93-J93)),MAX(0,TODAY()-J93)))</x:f>
        <x:v>7</x:v>
      </x:c>
      <x:c r="Q93" s="12" t="str">
        <x:f t="shared" ca="1" si="10">IF(L93="Cancelado","Cancelado",IF(L93="Entregue",IF(P93&gt;0,"Entregue com atraso","Entregue no prazo"),IF(P93&gt;0,"Atrasado","Dentro do prazo")))</x:f>
        <x:v>Entregue com atraso</x:v>
      </x:c>
      <x:c r="R93" s="37" t="n">
        <x:f t="shared" ca="1" si="11">IF(OR(M93="",N93=""),"",ROUND(M93+N93,2))</x:f>
        <x:v>3383.24</x:v>
      </x:c>
      <x:c r="S93" s="37" t="n">
        <x:f t="shared" si="12">IF(OR(I93="",R93=""),"",ROUND(I93-R93,2))</x:f>
        <x:v>866.26</x:v>
      </x:c>
    </x:row>
    <x:row r="94">
      <x:c r="A94" s="12" t="s">
        <x:v>261</x:v>
      </x:c>
      <x:c r="B94" s="34">
        <x:v>46032</x:v>
      </x:c>
      <x:c r="C94" s="12" t="s">
        <x:v>145</x:v>
      </x:c>
      <x:c r="D94" s="12" t="s">
        <x:v>124</x:v>
      </x:c>
      <x:c r="E94" s="12">
        <x:v>1</x:v>
      </x:c>
      <x:c r="F94" s="37">
        <x:v>579.9</x:v>
      </x:c>
      <x:c r="G94" s="38">
        <x:v>0</x:v>
      </x:c>
      <x:c r="H94" s="37">
        <x:v>579.9</x:v>
      </x:c>
      <x:c r="I94" s="37">
        <x:v>579.9</x:v>
      </x:c>
      <x:c r="J94" s="34">
        <x:v>46044</x:v>
      </x:c>
      <x:c r="K94" s="34">
        <x:v>46046</x:v>
      </x:c>
      <x:c r="L94" s="12" t="s">
        <x:v>28</x:v>
      </x:c>
      <x:c r="M94" s="37">
        <x:v>444.53</x:v>
      </x:c>
      <x:c r="N94" s="37">
        <x:v>87.65</x:v>
      </x:c>
      <x:c r="O94" s="36" t="n">
        <x:f t="shared" si="13">IF(OR(B94="",J94=""),"",J94-B94)</x:f>
        <x:v>12</x:v>
      </x:c>
      <x:c r="P94" s="36" t="n">
        <x:f t="shared" ca="1" si="9">IF(L94="Cancelado","",IF(L94="Entregue",IF(K94="","",MAX(0,K94-J94)),MAX(0,TODAY()-J94)))</x:f>
        <x:v>2</x:v>
      </x:c>
      <x:c r="Q94" s="12" t="str">
        <x:f t="shared" ca="1" si="10">IF(L94="Cancelado","Cancelado",IF(L94="Entregue",IF(P94&gt;0,"Entregue com atraso","Entregue no prazo"),IF(P94&gt;0,"Atrasado","Dentro do prazo")))</x:f>
        <x:v>Entregue com atraso</x:v>
      </x:c>
      <x:c r="R94" s="37" t="n">
        <x:f t="shared" ca="1" si="11">IF(OR(M94="",N94=""),"",ROUND(M94+N94,2))</x:f>
        <x:v>532.18</x:v>
      </x:c>
      <x:c r="S94" s="37" t="n">
        <x:f t="shared" si="12">IF(OR(I94="",R94=""),"",ROUND(I94-R94,2))</x:f>
        <x:v>47.72</x:v>
      </x:c>
    </x:row>
    <x:row r="95">
      <x:c r="A95" s="12" t="s">
        <x:v>262</x:v>
      </x:c>
      <x:c r="B95" s="34">
        <x:v>46176</x:v>
      </x:c>
      <x:c r="C95" s="12" t="s">
        <x:v>193</x:v>
      </x:c>
      <x:c r="D95" s="12" t="s">
        <x:v>111</x:v>
      </x:c>
      <x:c r="E95" s="12">
        <x:v>2</x:v>
      </x:c>
      <x:c r="F95" s="37">
        <x:v>599.9</x:v>
      </x:c>
      <x:c r="G95" s="38">
        <x:v>0.03</x:v>
      </x:c>
      <x:c r="H95" s="37">
        <x:v>1199.8</x:v>
      </x:c>
      <x:c r="I95" s="37">
        <x:v>1163.81</x:v>
      </x:c>
      <x:c r="J95" s="34">
        <x:v>46186</x:v>
      </x:c>
      <x:c r="K95" s="34">
        <x:v>46186</x:v>
      </x:c>
      <x:c r="L95" s="12" t="s">
        <x:v>28</x:v>
      </x:c>
      <x:c r="M95" s="37">
        <x:v>846.35</x:v>
      </x:c>
      <x:c r="N95" s="37">
        <x:v>246.57</x:v>
      </x:c>
      <x:c r="O95" s="36" t="n">
        <x:f t="shared" si="13">IF(OR(B95="",J95=""),"",J95-B95)</x:f>
        <x:v>10</x:v>
      </x:c>
      <x:c r="P95" s="36" t="n">
        <x:f t="shared" ca="1" si="9">IF(L95="Cancelado","",IF(L95="Entregue",IF(K95="","",MAX(0,K95-J95)),MAX(0,TODAY()-J95)))</x:f>
        <x:v>0</x:v>
      </x:c>
      <x:c r="Q95" s="12" t="str">
        <x:f t="shared" ca="1" si="10">IF(L95="Cancelado","Cancelado",IF(L95="Entregue",IF(P95&gt;0,"Entregue com atraso","Entregue no prazo"),IF(P95&gt;0,"Atrasado","Dentro do prazo")))</x:f>
        <x:v>Entregue no prazo</x:v>
      </x:c>
      <x:c r="R95" s="37" t="n">
        <x:f t="shared" ca="1" si="11">IF(OR(M95="",N95=""),"",ROUND(M95+N95,2))</x:f>
        <x:v>1092.92</x:v>
      </x:c>
      <x:c r="S95" s="37" t="n">
        <x:f t="shared" si="12">IF(OR(I95="",R95=""),"",ROUND(I95-R95,2))</x:f>
        <x:v>70.89</x:v>
      </x:c>
    </x:row>
    <x:row r="96">
      <x:c r="A96" s="12" t="s">
        <x:v>263</x:v>
      </x:c>
      <x:c r="B96" s="34">
        <x:v>46111</x:v>
      </x:c>
      <x:c r="C96" s="12" t="s">
        <x:v>193</x:v>
      </x:c>
      <x:c r="D96" s="12" t="s">
        <x:v>111</x:v>
      </x:c>
      <x:c r="E96" s="12">
        <x:v>5</x:v>
      </x:c>
      <x:c r="F96" s="37">
        <x:v>599.9</x:v>
      </x:c>
      <x:c r="G96" s="38">
        <x:v>0.08</x:v>
      </x:c>
      <x:c r="H96" s="37">
        <x:v>2999.5</x:v>
      </x:c>
      <x:c r="I96" s="37">
        <x:v>2759.54</x:v>
      </x:c>
      <x:c r="J96" s="34">
        <x:v>46122</x:v>
      </x:c>
      <x:c r="K96" s="34"/>
      <x:c r="L96" s="12" t="s">
        <x:v>27</x:v>
      </x:c>
      <x:c r="M96" s="37">
        <x:v>1953.8</x:v>
      </x:c>
      <x:c r="N96" s="37">
        <x:v>151.88</x:v>
      </x:c>
      <x:c r="O96" s="36" t="n">
        <x:f t="shared" si="13">IF(OR(B96="",J96=""),"",J96-B96)</x:f>
        <x:v>11</x:v>
      </x:c>
      <x:c r="P96" s="36" t="n">
        <x:f t="shared" ca="1" si="9">IF(L96="Cancelado","",IF(L96="Entregue",IF(K96="","",MAX(0,K96-J96)),MAX(0,TODAY()-J96)))</x:f>
        <x:v>158</x:v>
      </x:c>
      <x:c r="Q96" s="12" t="str">
        <x:f t="shared" ca="1" si="10">IF(L96="Cancelado","Cancelado",IF(L96="Entregue",IF(P96&gt;0,"Entregue com atraso","Entregue no prazo"),IF(P96&gt;0,"Atrasado","Dentro do prazo")))</x:f>
        <x:v>Atrasado</x:v>
      </x:c>
      <x:c r="R96" s="37" t="n">
        <x:f t="shared" ca="1" si="11">IF(OR(M96="",N96=""),"",ROUND(M96+N96,2))</x:f>
        <x:v>2105.68</x:v>
      </x:c>
      <x:c r="S96" s="37" t="n">
        <x:f t="shared" si="12">IF(OR(I96="",R96=""),"",ROUND(I96-R96,2))</x:f>
        <x:v>653.86</x:v>
      </x:c>
    </x:row>
    <x:row r="97">
      <x:c r="A97" s="12" t="s">
        <x:v>264</x:v>
      </x:c>
      <x:c r="B97" s="34">
        <x:v>46107</x:v>
      </x:c>
      <x:c r="C97" s="12" t="s">
        <x:v>210</x:v>
      </x:c>
      <x:c r="D97" s="12" t="s">
        <x:v>104</x:v>
      </x:c>
      <x:c r="E97" s="12">
        <x:v>2</x:v>
      </x:c>
      <x:c r="F97" s="37">
        <x:v>699.9</x:v>
      </x:c>
      <x:c r="G97" s="38">
        <x:v>0.03</x:v>
      </x:c>
      <x:c r="H97" s="37">
        <x:v>1399.8</x:v>
      </x:c>
      <x:c r="I97" s="37">
        <x:v>1357.81</x:v>
      </x:c>
      <x:c r="J97" s="34">
        <x:v>46120</x:v>
      </x:c>
      <x:c r="K97" s="34"/>
      <x:c r="L97" s="12" t="s">
        <x:v>27</x:v>
      </x:c>
      <x:c r="M97" s="37">
        <x:v>842.09</x:v>
      </x:c>
      <x:c r="N97" s="37">
        <x:v>249.3</x:v>
      </x:c>
      <x:c r="O97" s="36" t="n">
        <x:f t="shared" si="13">IF(OR(B97="",J97=""),"",J97-B97)</x:f>
        <x:v>13</x:v>
      </x:c>
      <x:c r="P97" s="36" t="n">
        <x:f t="shared" ca="1" si="9">IF(L97="Cancelado","",IF(L97="Entregue",IF(K97="","",MAX(0,K97-J97)),MAX(0,TODAY()-J97)))</x:f>
        <x:v>160</x:v>
      </x:c>
      <x:c r="Q97" s="12" t="str">
        <x:f t="shared" ca="1" si="10">IF(L97="Cancelado","Cancelado",IF(L97="Entregue",IF(P97&gt;0,"Entregue com atraso","Entregue no prazo"),IF(P97&gt;0,"Atrasado","Dentro do prazo")))</x:f>
        <x:v>Atrasado</x:v>
      </x:c>
      <x:c r="R97" s="37" t="n">
        <x:f t="shared" ca="1" si="11">IF(OR(M97="",N97=""),"",ROUND(M97+N97,2))</x:f>
        <x:v>1091.39</x:v>
      </x:c>
      <x:c r="S97" s="37" t="n">
        <x:f t="shared" si="12">IF(OR(I97="",R97=""),"",ROUND(I97-R97,2))</x:f>
        <x:v>266.42</x:v>
      </x:c>
    </x:row>
    <x:row r="98">
      <x:c r="A98" s="12" t="s">
        <x:v>265</x:v>
      </x:c>
      <x:c r="B98" s="34">
        <x:v>46145</x:v>
      </x:c>
      <x:c r="C98" s="12" t="s">
        <x:v>193</x:v>
      </x:c>
      <x:c r="D98" s="12" t="s">
        <x:v>98</x:v>
      </x:c>
      <x:c r="E98" s="12">
        <x:v>4</x:v>
      </x:c>
      <x:c r="F98" s="37">
        <x:v>749.9</x:v>
      </x:c>
      <x:c r="G98" s="38">
        <x:v>0.05</x:v>
      </x:c>
      <x:c r="H98" s="37">
        <x:v>2999.6</x:v>
      </x:c>
      <x:c r="I98" s="37">
        <x:v>2849.62</x:v>
      </x:c>
      <x:c r="J98" s="34">
        <x:v>46155</x:v>
      </x:c>
      <x:c r="K98" s="34">
        <x:v>46157</x:v>
      </x:c>
      <x:c r="L98" s="12" t="s">
        <x:v>28</x:v>
      </x:c>
      <x:c r="M98" s="37">
        <x:v>2051.91</x:v>
      </x:c>
      <x:c r="N98" s="37">
        <x:v>223.6</x:v>
      </x:c>
      <x:c r="O98" s="36" t="n">
        <x:f t="shared" si="13">IF(OR(B98="",J98=""),"",J98-B98)</x:f>
        <x:v>10</x:v>
      </x:c>
      <x:c r="P98" s="36" t="n">
        <x:f t="shared" ref="P98:P121" ca="1" si="14">IF(L98="Cancelado","",IF(L98="Entregue",IF(K98="","",MAX(0,K98-J98)),MAX(0,TODAY()-J98)))</x:f>
        <x:v>2</x:v>
      </x:c>
      <x:c r="Q98" s="12" t="str">
        <x:f t="shared" ref="Q98:Q121" ca="1" si="15">IF(L98="Cancelado","Cancelado",IF(L98="Entregue",IF(P98&gt;0,"Entregue com atraso","Entregue no prazo"),IF(P98&gt;0,"Atrasado","Dentro do prazo")))</x:f>
        <x:v>Entregue com atraso</x:v>
      </x:c>
      <x:c r="R98" s="37" t="n">
        <x:f t="shared" ref="R98:R121" ca="1" si="16">IF(OR(M98="",N98=""),"",ROUND(M98+N98,2))</x:f>
        <x:v>2275.51</x:v>
      </x:c>
      <x:c r="S98" s="37" t="n">
        <x:f t="shared" ref="S98:S121" si="17">IF(OR(I98="",R98=""),"",ROUND(I98-R98,2))</x:f>
        <x:v>574.11</x:v>
      </x:c>
    </x:row>
    <x:row r="99">
      <x:c r="A99" s="12" t="s">
        <x:v>266</x:v>
      </x:c>
      <x:c r="B99" s="34">
        <x:v>46079</x:v>
      </x:c>
      <x:c r="C99" s="12" t="s">
        <x:v>210</x:v>
      </x:c>
      <x:c r="D99" s="12" t="s">
        <x:v>76</x:v>
      </x:c>
      <x:c r="E99" s="12">
        <x:v>3</x:v>
      </x:c>
      <x:c r="F99" s="37">
        <x:v>689.9</x:v>
      </x:c>
      <x:c r="G99" s="38">
        <x:v>0</x:v>
      </x:c>
      <x:c r="H99" s="37">
        <x:v>2069.6999999999998</x:v>
      </x:c>
      <x:c r="I99" s="37">
        <x:v>2069.6999999999998</x:v>
      </x:c>
      <x:c r="J99" s="34">
        <x:v>46091</x:v>
      </x:c>
      <x:c r="K99" s="34"/>
      <x:c r="L99" s="12" t="s">
        <x:v>27</x:v>
      </x:c>
      <x:c r="M99" s="37">
        <x:v>1443.73</x:v>
      </x:c>
      <x:c r="N99" s="37">
        <x:v>51.78</x:v>
      </x:c>
      <x:c r="O99" s="36" t="n">
        <x:f t="shared" si="13">IF(OR(B99="",J99=""),"",J99-B99)</x:f>
        <x:v>12</x:v>
      </x:c>
      <x:c r="P99" s="36" t="n">
        <x:f t="shared" ca="1" si="14">IF(L99="Cancelado","",IF(L99="Entregue",IF(K99="","",MAX(0,K99-J99)),MAX(0,TODAY()-J99)))</x:f>
        <x:v>189</x:v>
      </x:c>
      <x:c r="Q99" s="12" t="str">
        <x:f t="shared" ca="1" si="15">IF(L99="Cancelado","Cancelado",IF(L99="Entregue",IF(P99&gt;0,"Entregue com atraso","Entregue no prazo"),IF(P99&gt;0,"Atrasado","Dentro do prazo")))</x:f>
        <x:v>Atrasado</x:v>
      </x:c>
      <x:c r="R99" s="37" t="n">
        <x:f t="shared" ca="1" si="16">IF(OR(M99="",N99=""),"",ROUND(M99+N99,2))</x:f>
        <x:v>1495.51</x:v>
      </x:c>
      <x:c r="S99" s="37" t="n">
        <x:f t="shared" si="17">IF(OR(I99="",R99=""),"",ROUND(I99-R99,2))</x:f>
        <x:v>574.19</x:v>
      </x:c>
    </x:row>
    <x:row r="100">
      <x:c r="A100" s="12" t="s">
        <x:v>267</x:v>
      </x:c>
      <x:c r="B100" s="34">
        <x:v>46188</x:v>
      </x:c>
      <x:c r="C100" s="12" t="s">
        <x:v>200</x:v>
      </x:c>
      <x:c r="D100" s="12" t="s">
        <x:v>82</x:v>
      </x:c>
      <x:c r="E100" s="12">
        <x:v>3</x:v>
      </x:c>
      <x:c r="F100" s="37">
        <x:v>729.9</x:v>
      </x:c>
      <x:c r="G100" s="38">
        <x:v>0</x:v>
      </x:c>
      <x:c r="H100" s="37">
        <x:v>2189.6999999999998</x:v>
      </x:c>
      <x:c r="I100" s="37">
        <x:v>2189.6999999999998</x:v>
      </x:c>
      <x:c r="J100" s="34">
        <x:v>46201</x:v>
      </x:c>
      <x:c r="K100" s="34">
        <x:v>46202</x:v>
      </x:c>
      <x:c r="L100" s="12" t="s">
        <x:v>28</x:v>
      </x:c>
      <x:c r="M100" s="37">
        <x:v>1390.27</x:v>
      </x:c>
      <x:c r="N100" s="37">
        <x:v>278.18</x:v>
      </x:c>
      <x:c r="O100" s="36" t="n">
        <x:f t="shared" si="13">IF(OR(B100="",J100=""),"",J100-B100)</x:f>
        <x:v>13</x:v>
      </x:c>
      <x:c r="P100" s="36" t="n">
        <x:f t="shared" ca="1" si="14">IF(L100="Cancelado","",IF(L100="Entregue",IF(K100="","",MAX(0,K100-J100)),MAX(0,TODAY()-J100)))</x:f>
        <x:v>1</x:v>
      </x:c>
      <x:c r="Q100" s="12" t="str">
        <x:f t="shared" ca="1" si="15">IF(L100="Cancelado","Cancelado",IF(L100="Entregue",IF(P100&gt;0,"Entregue com atraso","Entregue no prazo"),IF(P100&gt;0,"Atrasado","Dentro do prazo")))</x:f>
        <x:v>Entregue com atraso</x:v>
      </x:c>
      <x:c r="R100" s="37" t="n">
        <x:f t="shared" ca="1" si="16">IF(OR(M100="",N100=""),"",ROUND(M100+N100,2))</x:f>
        <x:v>1668.45</x:v>
      </x:c>
      <x:c r="S100" s="37" t="n">
        <x:f t="shared" si="17">IF(OR(I100="",R100=""),"",ROUND(I100-R100,2))</x:f>
        <x:v>521.25</x:v>
      </x:c>
    </x:row>
    <x:row r="101">
      <x:c r="A101" s="12" t="s">
        <x:v>268</x:v>
      </x:c>
      <x:c r="B101" s="34">
        <x:v>46260</x:v>
      </x:c>
      <x:c r="C101" s="12" t="s">
        <x:v>119</x:v>
      </x:c>
      <x:c r="D101" s="12" t="s">
        <x:v>221</x:v>
      </x:c>
      <x:c r="E101" s="12">
        <x:v>2</x:v>
      </x:c>
      <x:c r="F101" s="37">
        <x:v>499.9</x:v>
      </x:c>
      <x:c r="G101" s="38">
        <x:v>0.08</x:v>
      </x:c>
      <x:c r="H101" s="37">
        <x:v>999.8</x:v>
      </x:c>
      <x:c r="I101" s="37">
        <x:v>919.82</x:v>
      </x:c>
      <x:c r="J101" s="34">
        <x:v>46267</x:v>
      </x:c>
      <x:c r="K101" s="34"/>
      <x:c r="L101" s="12" t="s">
        <x:v>25</x:v>
      </x:c>
      <x:c r="M101" s="37">
        <x:v>675.75</x:v>
      </x:c>
      <x:c r="N101" s="37">
        <x:v>164.58</x:v>
      </x:c>
      <x:c r="O101" s="36" t="n">
        <x:f t="shared" si="13">IF(OR(B101="",J101=""),"",J101-B101)</x:f>
        <x:v>7</x:v>
      </x:c>
      <x:c r="P101" s="36" t="n">
        <x:f t="shared" ca="1" si="14">IF(L101="Cancelado","",IF(L101="Entregue",IF(K101="","",MAX(0,K101-J101)),MAX(0,TODAY()-J101)))</x:f>
        <x:v>13</x:v>
      </x:c>
      <x:c r="Q101" s="12" t="str">
        <x:f t="shared" ca="1" si="15">IF(L101="Cancelado","Cancelado",IF(L101="Entregue",IF(P101&gt;0,"Entregue com atraso","Entregue no prazo"),IF(P101&gt;0,"Atrasado","Dentro do prazo")))</x:f>
        <x:v>Atrasado</x:v>
      </x:c>
      <x:c r="R101" s="37" t="n">
        <x:f t="shared" ca="1" si="16">IF(OR(M101="",N101=""),"",ROUND(M101+N101,2))</x:f>
        <x:v>840.33</x:v>
      </x:c>
      <x:c r="S101" s="37" t="n">
        <x:f t="shared" si="17">IF(OR(I101="",R101=""),"",ROUND(I101-R101,2))</x:f>
        <x:v>79.49</x:v>
      </x:c>
    </x:row>
    <x:row r="102">
      <x:c r="A102" s="12" t="s">
        <x:v>269</x:v>
      </x:c>
      <x:c r="B102" s="34">
        <x:v>46096</x:v>
      </x:c>
      <x:c r="C102" s="12" t="s">
        <x:v>193</x:v>
      </x:c>
      <x:c r="D102" s="12" t="s">
        <x:v>111</x:v>
      </x:c>
      <x:c r="E102" s="12">
        <x:v>8</x:v>
      </x:c>
      <x:c r="F102" s="37">
        <x:v>599.9</x:v>
      </x:c>
      <x:c r="G102" s="38">
        <x:v>0</x:v>
      </x:c>
      <x:c r="H102" s="37">
        <x:v>4799.2</x:v>
      </x:c>
      <x:c r="I102" s="37">
        <x:v>4799.2</x:v>
      </x:c>
      <x:c r="J102" s="34">
        <x:v>46108</x:v>
      </x:c>
      <x:c r="K102" s="34">
        <x:v>46109</x:v>
      </x:c>
      <x:c r="L102" s="12" t="s">
        <x:v>28</x:v>
      </x:c>
      <x:c r="M102" s="37">
        <x:v>3121.87</x:v>
      </x:c>
      <x:c r="N102" s="37">
        <x:v>185.85</x:v>
      </x:c>
      <x:c r="O102" s="36" t="n">
        <x:f t="shared" si="13">IF(OR(B102="",J102=""),"",J102-B102)</x:f>
        <x:v>12</x:v>
      </x:c>
      <x:c r="P102" s="36" t="n">
        <x:f t="shared" ca="1" si="14">IF(L102="Cancelado","",IF(L102="Entregue",IF(K102="","",MAX(0,K102-J102)),MAX(0,TODAY()-J102)))</x:f>
        <x:v>1</x:v>
      </x:c>
      <x:c r="Q102" s="12" t="str">
        <x:f t="shared" ca="1" si="15">IF(L102="Cancelado","Cancelado",IF(L102="Entregue",IF(P102&gt;0,"Entregue com atraso","Entregue no prazo"),IF(P102&gt;0,"Atrasado","Dentro do prazo")))</x:f>
        <x:v>Entregue com atraso</x:v>
      </x:c>
      <x:c r="R102" s="37" t="n">
        <x:f t="shared" ca="1" si="16">IF(OR(M102="",N102=""),"",ROUND(M102+N102,2))</x:f>
        <x:v>3307.72</x:v>
      </x:c>
      <x:c r="S102" s="37" t="n">
        <x:f t="shared" si="17">IF(OR(I102="",R102=""),"",ROUND(I102-R102,2))</x:f>
        <x:v>1491.48</x:v>
      </x:c>
    </x:row>
    <x:row r="103">
      <x:c r="A103" s="12" t="s">
        <x:v>270</x:v>
      </x:c>
      <x:c r="B103" s="34">
        <x:v>46218</x:v>
      </x:c>
      <x:c r="C103" s="12" t="s">
        <x:v>122</x:v>
      </x:c>
      <x:c r="D103" s="12" t="s">
        <x:v>131</x:v>
      </x:c>
      <x:c r="E103" s="12">
        <x:v>2</x:v>
      </x:c>
      <x:c r="F103" s="37">
        <x:v>899.9</x:v>
      </x:c>
      <x:c r="G103" s="38">
        <x:v>0</x:v>
      </x:c>
      <x:c r="H103" s="37">
        <x:v>1799.8</x:v>
      </x:c>
      <x:c r="I103" s="37">
        <x:v>1799.8</x:v>
      </x:c>
      <x:c r="J103" s="34">
        <x:v>46229</x:v>
      </x:c>
      <x:c r="K103" s="34">
        <x:v>46232</x:v>
      </x:c>
      <x:c r="L103" s="12" t="s">
        <x:v>28</x:v>
      </x:c>
      <x:c r="M103" s="37">
        <x:v>1192.81</x:v>
      </x:c>
      <x:c r="N103" s="37">
        <x:v>45.6</x:v>
      </x:c>
      <x:c r="O103" s="36" t="n">
        <x:f t="shared" si="13">IF(OR(B103="",J103=""),"",J103-B103)</x:f>
        <x:v>11</x:v>
      </x:c>
      <x:c r="P103" s="36" t="n">
        <x:f t="shared" ca="1" si="14">IF(L103="Cancelado","",IF(L103="Entregue",IF(K103="","",MAX(0,K103-J103)),MAX(0,TODAY()-J103)))</x:f>
        <x:v>3</x:v>
      </x:c>
      <x:c r="Q103" s="12" t="str">
        <x:f t="shared" ca="1" si="15">IF(L103="Cancelado","Cancelado",IF(L103="Entregue",IF(P103&gt;0,"Entregue com atraso","Entregue no prazo"),IF(P103&gt;0,"Atrasado","Dentro do prazo")))</x:f>
        <x:v>Entregue com atraso</x:v>
      </x:c>
      <x:c r="R103" s="37" t="n">
        <x:f t="shared" ca="1" si="16">IF(OR(M103="",N103=""),"",ROUND(M103+N103,2))</x:f>
        <x:v>1238.41</x:v>
      </x:c>
      <x:c r="S103" s="37" t="n">
        <x:f t="shared" si="17">IF(OR(I103="",R103=""),"",ROUND(I103-R103,2))</x:f>
        <x:v>561.39</x:v>
      </x:c>
    </x:row>
    <x:row r="104">
      <x:c r="A104" s="12" t="s">
        <x:v>271</x:v>
      </x:c>
      <x:c r="B104" s="34">
        <x:v>46212</x:v>
      </x:c>
      <x:c r="C104" s="12" t="s">
        <x:v>168</x:v>
      </x:c>
      <x:c r="D104" s="12" t="s">
        <x:v>139</x:v>
      </x:c>
      <x:c r="E104" s="12">
        <x:v>8</x:v>
      </x:c>
      <x:c r="F104" s="37">
        <x:v>779.9</x:v>
      </x:c>
      <x:c r="G104" s="38">
        <x:v>0</x:v>
      </x:c>
      <x:c r="H104" s="37">
        <x:v>6239.2</x:v>
      </x:c>
      <x:c r="I104" s="37">
        <x:v>6239.2</x:v>
      </x:c>
      <x:c r="J104" s="34">
        <x:v>46224</x:v>
      </x:c>
      <x:c r="K104" s="34">
        <x:v>46224</x:v>
      </x:c>
      <x:c r="L104" s="12" t="s">
        <x:v>28</x:v>
      </x:c>
      <x:c r="M104" s="37">
        <x:v>4200.17</x:v>
      </x:c>
      <x:c r="N104" s="37">
        <x:v>224.28</x:v>
      </x:c>
      <x:c r="O104" s="36" t="n">
        <x:f t="shared" si="13">IF(OR(B104="",J104=""),"",J104-B104)</x:f>
        <x:v>12</x:v>
      </x:c>
      <x:c r="P104" s="36" t="n">
        <x:f t="shared" ca="1" si="14">IF(L104="Cancelado","",IF(L104="Entregue",IF(K104="","",MAX(0,K104-J104)),MAX(0,TODAY()-J104)))</x:f>
        <x:v>0</x:v>
      </x:c>
      <x:c r="Q104" s="12" t="str">
        <x:f t="shared" ca="1" si="15">IF(L104="Cancelado","Cancelado",IF(L104="Entregue",IF(P104&gt;0,"Entregue com atraso","Entregue no prazo"),IF(P104&gt;0,"Atrasado","Dentro do prazo")))</x:f>
        <x:v>Entregue no prazo</x:v>
      </x:c>
      <x:c r="R104" s="37" t="n">
        <x:f t="shared" ca="1" si="16">IF(OR(M104="",N104=""),"",ROUND(M104+N104,2))</x:f>
        <x:v>4424.45</x:v>
      </x:c>
      <x:c r="S104" s="37" t="n">
        <x:f t="shared" si="17">IF(OR(I104="",R104=""),"",ROUND(I104-R104,2))</x:f>
        <x:v>1814.75</x:v>
      </x:c>
    </x:row>
    <x:row r="105">
      <x:c r="A105" s="12" t="s">
        <x:v>272</x:v>
      </x:c>
      <x:c r="B105" s="34">
        <x:v>46123</x:v>
      </x:c>
      <x:c r="C105" s="12" t="s">
        <x:v>187</x:v>
      </x:c>
      <x:c r="D105" s="12" t="s">
        <x:v>104</x:v>
      </x:c>
      <x:c r="E105" s="12">
        <x:v>4</x:v>
      </x:c>
      <x:c r="F105" s="37">
        <x:v>699.9</x:v>
      </x:c>
      <x:c r="G105" s="38">
        <x:v>0.08</x:v>
      </x:c>
      <x:c r="H105" s="37">
        <x:v>2799.6</x:v>
      </x:c>
      <x:c r="I105" s="37">
        <x:v>2575.63</x:v>
      </x:c>
      <x:c r="J105" s="34">
        <x:v>46131</x:v>
      </x:c>
      <x:c r="K105" s="34">
        <x:v>46131</x:v>
      </x:c>
      <x:c r="L105" s="12" t="s">
        <x:v>28</x:v>
      </x:c>
      <x:c r="M105" s="37">
        <x:v>1949.65</x:v>
      </x:c>
      <x:c r="N105" s="37">
        <x:v>141.53</x:v>
      </x:c>
      <x:c r="O105" s="36" t="n">
        <x:f t="shared" si="13">IF(OR(B105="",J105=""),"",J105-B105)</x:f>
        <x:v>8</x:v>
      </x:c>
      <x:c r="P105" s="36" t="n">
        <x:f t="shared" ca="1" si="14">IF(L105="Cancelado","",IF(L105="Entregue",IF(K105="","",MAX(0,K105-J105)),MAX(0,TODAY()-J105)))</x:f>
        <x:v>0</x:v>
      </x:c>
      <x:c r="Q105" s="12" t="str">
        <x:f t="shared" ca="1" si="15">IF(L105="Cancelado","Cancelado",IF(L105="Entregue",IF(P105&gt;0,"Entregue com atraso","Entregue no prazo"),IF(P105&gt;0,"Atrasado","Dentro do prazo")))</x:f>
        <x:v>Entregue no prazo</x:v>
      </x:c>
      <x:c r="R105" s="37" t="n">
        <x:f t="shared" ca="1" si="16">IF(OR(M105="",N105=""),"",ROUND(M105+N105,2))</x:f>
        <x:v>2091.18</x:v>
      </x:c>
      <x:c r="S105" s="37" t="n">
        <x:f t="shared" si="17">IF(OR(I105="",R105=""),"",ROUND(I105-R105,2))</x:f>
        <x:v>484.45</x:v>
      </x:c>
    </x:row>
    <x:row r="106">
      <x:c r="A106" s="12" t="s">
        <x:v>273</x:v>
      </x:c>
      <x:c r="B106" s="34">
        <x:v>46108</x:v>
      </x:c>
      <x:c r="C106" s="12" t="s">
        <x:v>107</x:v>
      </x:c>
      <x:c r="D106" s="12" t="s">
        <x:v>111</x:v>
      </x:c>
      <x:c r="E106" s="12">
        <x:v>7</x:v>
      </x:c>
      <x:c r="F106" s="37">
        <x:v>599.9</x:v>
      </x:c>
      <x:c r="G106" s="38">
        <x:v>0.03</x:v>
      </x:c>
      <x:c r="H106" s="37">
        <x:v>4199.3</x:v>
      </x:c>
      <x:c r="I106" s="37">
        <x:v>4073.32</x:v>
      </x:c>
      <x:c r="J106" s="34">
        <x:v>46123</x:v>
      </x:c>
      <x:c r="K106" s="34">
        <x:v>46130</x:v>
      </x:c>
      <x:c r="L106" s="12" t="s">
        <x:v>28</x:v>
      </x:c>
      <x:c r="M106" s="37">
        <x:v>3164.69</x:v>
      </x:c>
      <x:c r="N106" s="37">
        <x:v>161.4</x:v>
      </x:c>
      <x:c r="O106" s="36" t="n">
        <x:f t="shared" si="13">IF(OR(B106="",J106=""),"",J106-B106)</x:f>
        <x:v>15</x:v>
      </x:c>
      <x:c r="P106" s="36" t="n">
        <x:f t="shared" ca="1" si="14">IF(L106="Cancelado","",IF(L106="Entregue",IF(K106="","",MAX(0,K106-J106)),MAX(0,TODAY()-J106)))</x:f>
        <x:v>7</x:v>
      </x:c>
      <x:c r="Q106" s="12" t="str">
        <x:f t="shared" ca="1" si="15">IF(L106="Cancelado","Cancelado",IF(L106="Entregue",IF(P106&gt;0,"Entregue com atraso","Entregue no prazo"),IF(P106&gt;0,"Atrasado","Dentro do prazo")))</x:f>
        <x:v>Entregue com atraso</x:v>
      </x:c>
      <x:c r="R106" s="37" t="n">
        <x:f t="shared" ca="1" si="16">IF(OR(M106="",N106=""),"",ROUND(M106+N106,2))</x:f>
        <x:v>3326.09</x:v>
      </x:c>
      <x:c r="S106" s="37" t="n">
        <x:f t="shared" si="17">IF(OR(I106="",R106=""),"",ROUND(I106-R106,2))</x:f>
        <x:v>747.23</x:v>
      </x:c>
    </x:row>
    <x:row r="107">
      <x:c r="A107" s="12" t="s">
        <x:v>274</x:v>
      </x:c>
      <x:c r="B107" s="34">
        <x:v>46036</x:v>
      </x:c>
      <x:c r="C107" s="12" t="s">
        <x:v>142</x:v>
      </x:c>
      <x:c r="D107" s="12" t="s">
        <x:v>173</x:v>
      </x:c>
      <x:c r="E107" s="12">
        <x:v>6</x:v>
      </x:c>
      <x:c r="F107" s="37">
        <x:v>289.89999999999998</x:v>
      </x:c>
      <x:c r="G107" s="38">
        <x:v>0</x:v>
      </x:c>
      <x:c r="H107" s="37">
        <x:v>1739.4</x:v>
      </x:c>
      <x:c r="I107" s="37">
        <x:v>1739.4</x:v>
      </x:c>
      <x:c r="J107" s="34">
        <x:v>46048</x:v>
      </x:c>
      <x:c r="K107" s="34">
        <x:v>46050</x:v>
      </x:c>
      <x:c r="L107" s="12" t="s">
        <x:v>28</x:v>
      </x:c>
      <x:c r="M107" s="37">
        <x:v>1082.7</x:v>
      </x:c>
      <x:c r="N107" s="37">
        <x:v>78.88</x:v>
      </x:c>
      <x:c r="O107" s="36" t="n">
        <x:f t="shared" si="13">IF(OR(B107="",J107=""),"",J107-B107)</x:f>
        <x:v>12</x:v>
      </x:c>
      <x:c r="P107" s="36" t="n">
        <x:f t="shared" ca="1" si="14">IF(L107="Cancelado","",IF(L107="Entregue",IF(K107="","",MAX(0,K107-J107)),MAX(0,TODAY()-J107)))</x:f>
        <x:v>2</x:v>
      </x:c>
      <x:c r="Q107" s="12" t="str">
        <x:f t="shared" ca="1" si="15">IF(L107="Cancelado","Cancelado",IF(L107="Entregue",IF(P107&gt;0,"Entregue com atraso","Entregue no prazo"),IF(P107&gt;0,"Atrasado","Dentro do prazo")))</x:f>
        <x:v>Entregue com atraso</x:v>
      </x:c>
      <x:c r="R107" s="37" t="n">
        <x:f t="shared" ca="1" si="16">IF(OR(M107="",N107=""),"",ROUND(M107+N107,2))</x:f>
        <x:v>1161.58</x:v>
      </x:c>
      <x:c r="S107" s="37" t="n">
        <x:f t="shared" si="17">IF(OR(I107="",R107=""),"",ROUND(I107-R107,2))</x:f>
        <x:v>577.82</x:v>
      </x:c>
    </x:row>
    <x:row r="108">
      <x:c r="A108" s="12" t="s">
        <x:v>275</x:v>
      </x:c>
      <x:c r="B108" s="34">
        <x:v>46249</x:v>
      </x:c>
      <x:c r="C108" s="12" t="s">
        <x:v>180</x:v>
      </x:c>
      <x:c r="D108" s="12" t="s">
        <x:v>131</x:v>
      </x:c>
      <x:c r="E108" s="12">
        <x:v>2</x:v>
      </x:c>
      <x:c r="F108" s="37">
        <x:v>899.9</x:v>
      </x:c>
      <x:c r="G108" s="38">
        <x:v>0.03</x:v>
      </x:c>
      <x:c r="H108" s="37">
        <x:v>1799.8</x:v>
      </x:c>
      <x:c r="I108" s="37">
        <x:v>1745.81</x:v>
      </x:c>
      <x:c r="J108" s="34">
        <x:v>46258</x:v>
      </x:c>
      <x:c r="K108" s="34">
        <x:v>46259</x:v>
      </x:c>
      <x:c r="L108" s="12" t="s">
        <x:v>28</x:v>
      </x:c>
      <x:c r="M108" s="37">
        <x:v>1263.92</x:v>
      </x:c>
      <x:c r="N108" s="37">
        <x:v>245.16</x:v>
      </x:c>
      <x:c r="O108" s="36" t="n">
        <x:f t="shared" si="13">IF(OR(B108="",J108=""),"",J108-B108)</x:f>
        <x:v>9</x:v>
      </x:c>
      <x:c r="P108" s="36" t="n">
        <x:f t="shared" ca="1" si="14">IF(L108="Cancelado","",IF(L108="Entregue",IF(K108="","",MAX(0,K108-J108)),MAX(0,TODAY()-J108)))</x:f>
        <x:v>1</x:v>
      </x:c>
      <x:c r="Q108" s="12" t="str">
        <x:f t="shared" ca="1" si="15">IF(L108="Cancelado","Cancelado",IF(L108="Entregue",IF(P108&gt;0,"Entregue com atraso","Entregue no prazo"),IF(P108&gt;0,"Atrasado","Dentro do prazo")))</x:f>
        <x:v>Entregue com atraso</x:v>
      </x:c>
      <x:c r="R108" s="37" t="n">
        <x:f t="shared" ca="1" si="16">IF(OR(M108="",N108=""),"",ROUND(M108+N108,2))</x:f>
        <x:v>1509.08</x:v>
      </x:c>
      <x:c r="S108" s="37" t="n">
        <x:f t="shared" si="17">IF(OR(I108="",R108=""),"",ROUND(I108-R108,2))</x:f>
        <x:v>236.73</x:v>
      </x:c>
    </x:row>
    <x:row r="109">
      <x:c r="A109" s="12" t="s">
        <x:v>276</x:v>
      </x:c>
      <x:c r="B109" s="34">
        <x:v>46245</x:v>
      </x:c>
      <x:c r="C109" s="12" t="s">
        <x:v>206</x:v>
      </x:c>
      <x:c r="D109" s="12" t="s">
        <x:v>76</x:v>
      </x:c>
      <x:c r="E109" s="12">
        <x:v>7</x:v>
      </x:c>
      <x:c r="F109" s="37">
        <x:v>689.9</x:v>
      </x:c>
      <x:c r="G109" s="38">
        <x:v>0</x:v>
      </x:c>
      <x:c r="H109" s="37">
        <x:v>4829.3</x:v>
      </x:c>
      <x:c r="I109" s="37">
        <x:v>4829.3</x:v>
      </x:c>
      <x:c r="J109" s="34">
        <x:v>46260</x:v>
      </x:c>
      <x:c r="K109" s="34">
        <x:v>46262</x:v>
      </x:c>
      <x:c r="L109" s="12" t="s">
        <x:v>28</x:v>
      </x:c>
      <x:c r="M109" s="37">
        <x:v>3668.25</x:v>
      </x:c>
      <x:c r="N109" s="37">
        <x:v>53.44</x:v>
      </x:c>
      <x:c r="O109" s="36" t="n">
        <x:f t="shared" si="13">IF(OR(B109="",J109=""),"",J109-B109)</x:f>
        <x:v>15</x:v>
      </x:c>
      <x:c r="P109" s="36" t="n">
        <x:f t="shared" ca="1" si="14">IF(L109="Cancelado","",IF(L109="Entregue",IF(K109="","",MAX(0,K109-J109)),MAX(0,TODAY()-J109)))</x:f>
        <x:v>2</x:v>
      </x:c>
      <x:c r="Q109" s="12" t="str">
        <x:f t="shared" ca="1" si="15">IF(L109="Cancelado","Cancelado",IF(L109="Entregue",IF(P109&gt;0,"Entregue com atraso","Entregue no prazo"),IF(P109&gt;0,"Atrasado","Dentro do prazo")))</x:f>
        <x:v>Entregue com atraso</x:v>
      </x:c>
      <x:c r="R109" s="37" t="n">
        <x:f t="shared" ca="1" si="16">IF(OR(M109="",N109=""),"",ROUND(M109+N109,2))</x:f>
        <x:v>3721.69</x:v>
      </x:c>
      <x:c r="S109" s="37" t="n">
        <x:f t="shared" si="17">IF(OR(I109="",R109=""),"",ROUND(I109-R109,2))</x:f>
        <x:v>1107.61</x:v>
      </x:c>
    </x:row>
    <x:row r="110">
      <x:c r="A110" s="12" t="s">
        <x:v>277</x:v>
      </x:c>
      <x:c r="B110" s="34">
        <x:v>46044</x:v>
      </x:c>
      <x:c r="C110" s="12" t="s">
        <x:v>137</x:v>
      </x:c>
      <x:c r="D110" s="12" t="s">
        <x:v>182</x:v>
      </x:c>
      <x:c r="E110" s="12">
        <x:v>4</x:v>
      </x:c>
      <x:c r="F110" s="37">
        <x:v>1099.9000000000001</x:v>
      </x:c>
      <x:c r="G110" s="38">
        <x:v>0.08</x:v>
      </x:c>
      <x:c r="H110" s="37">
        <x:v>4399.6000000000004</x:v>
      </x:c>
      <x:c r="I110" s="37">
        <x:v>4047.63</x:v>
      </x:c>
      <x:c r="J110" s="34">
        <x:v>46050</x:v>
      </x:c>
      <x:c r="K110" s="34">
        <x:v>46048</x:v>
      </x:c>
      <x:c r="L110" s="12" t="s">
        <x:v>28</x:v>
      </x:c>
      <x:c r="M110" s="37">
        <x:v>3001.96</x:v>
      </x:c>
      <x:c r="N110" s="37">
        <x:v>210.41</x:v>
      </x:c>
      <x:c r="O110" s="36" t="n">
        <x:f t="shared" si="13">IF(OR(B110="",J110=""),"",J110-B110)</x:f>
        <x:v>6</x:v>
      </x:c>
      <x:c r="P110" s="36" t="n">
        <x:f t="shared" ca="1" si="14">IF(L110="Cancelado","",IF(L110="Entregue",IF(K110="","",MAX(0,K110-J110)),MAX(0,TODAY()-J110)))</x:f>
        <x:v>0</x:v>
      </x:c>
      <x:c r="Q110" s="12" t="str">
        <x:f t="shared" ca="1" si="15">IF(L110="Cancelado","Cancelado",IF(L110="Entregue",IF(P110&gt;0,"Entregue com atraso","Entregue no prazo"),IF(P110&gt;0,"Atrasado","Dentro do prazo")))</x:f>
        <x:v>Entregue no prazo</x:v>
      </x:c>
      <x:c r="R110" s="37" t="n">
        <x:f t="shared" ca="1" si="16">IF(OR(M110="",N110=""),"",ROUND(M110+N110,2))</x:f>
        <x:v>3212.37</x:v>
      </x:c>
      <x:c r="S110" s="37" t="n">
        <x:f t="shared" si="17">IF(OR(I110="",R110=""),"",ROUND(I110-R110,2))</x:f>
        <x:v>835.26</x:v>
      </x:c>
    </x:row>
    <x:row r="111">
      <x:c r="A111" s="12" t="s">
        <x:v>278</x:v>
      </x:c>
      <x:c r="B111" s="34">
        <x:v>46052</x:v>
      </x:c>
      <x:c r="C111" s="12" t="s">
        <x:v>187</x:v>
      </x:c>
      <x:c r="D111" s="12" t="s">
        <x:v>88</x:v>
      </x:c>
      <x:c r="E111" s="12">
        <x:v>5</x:v>
      </x:c>
      <x:c r="F111" s="37">
        <x:v>649.9</x:v>
      </x:c>
      <x:c r="G111" s="38">
        <x:v>0</x:v>
      </x:c>
      <x:c r="H111" s="37">
        <x:v>3249.5</x:v>
      </x:c>
      <x:c r="I111" s="37">
        <x:v>3249.5</x:v>
      </x:c>
      <x:c r="J111" s="34">
        <x:v>46057</x:v>
      </x:c>
      <x:c r="K111" s="34">
        <x:v>46054</x:v>
      </x:c>
      <x:c r="L111" s="12" t="s">
        <x:v>28</x:v>
      </x:c>
      <x:c r="M111" s="37">
        <x:v>2167.2199999999998</x:v>
      </x:c>
      <x:c r="N111" s="37">
        <x:v>133.09</x:v>
      </x:c>
      <x:c r="O111" s="36" t="n">
        <x:f t="shared" si="13">IF(OR(B111="",J111=""),"",J111-B111)</x:f>
        <x:v>5</x:v>
      </x:c>
      <x:c r="P111" s="36" t="n">
        <x:f t="shared" ca="1" si="14">IF(L111="Cancelado","",IF(L111="Entregue",IF(K111="","",MAX(0,K111-J111)),MAX(0,TODAY()-J111)))</x:f>
        <x:v>0</x:v>
      </x:c>
      <x:c r="Q111" s="12" t="str">
        <x:f t="shared" ca="1" si="15">IF(L111="Cancelado","Cancelado",IF(L111="Entregue",IF(P111&gt;0,"Entregue com atraso","Entregue no prazo"),IF(P111&gt;0,"Atrasado","Dentro do prazo")))</x:f>
        <x:v>Entregue no prazo</x:v>
      </x:c>
      <x:c r="R111" s="37" t="n">
        <x:f t="shared" ca="1" si="16">IF(OR(M111="",N111=""),"",ROUND(M111+N111,2))</x:f>
        <x:v>2300.31</x:v>
      </x:c>
      <x:c r="S111" s="37" t="n">
        <x:f t="shared" si="17">IF(OR(I111="",R111=""),"",ROUND(I111-R111,2))</x:f>
        <x:v>949.19</x:v>
      </x:c>
    </x:row>
    <x:row r="112">
      <x:c r="A112" s="12" t="s">
        <x:v>279</x:v>
      </x:c>
      <x:c r="B112" s="34">
        <x:v>46064</x:v>
      </x:c>
      <x:c r="C112" s="12" t="s">
        <x:v>137</x:v>
      </x:c>
      <x:c r="D112" s="12" t="s">
        <x:v>173</x:v>
      </x:c>
      <x:c r="E112" s="12">
        <x:v>7</x:v>
      </x:c>
      <x:c r="F112" s="37">
        <x:v>289.89999999999998</x:v>
      </x:c>
      <x:c r="G112" s="38">
        <x:v>0.05</x:v>
      </x:c>
      <x:c r="H112" s="37">
        <x:v>2029.3</x:v>
      </x:c>
      <x:c r="I112" s="37">
        <x:v>1927.83</x:v>
      </x:c>
      <x:c r="J112" s="34">
        <x:v>46079</x:v>
      </x:c>
      <x:c r="K112" s="34">
        <x:v>46078</x:v>
      </x:c>
      <x:c r="L112" s="12" t="s">
        <x:v>28</x:v>
      </x:c>
      <x:c r="M112" s="37">
        <x:v>1249.26</x:v>
      </x:c>
      <x:c r="N112" s="37">
        <x:v>188.23</x:v>
      </x:c>
      <x:c r="O112" s="36" t="n">
        <x:f t="shared" si="13">IF(OR(B112="",J112=""),"",J112-B112)</x:f>
        <x:v>15</x:v>
      </x:c>
      <x:c r="P112" s="36" t="n">
        <x:f t="shared" ca="1" si="14">IF(L112="Cancelado","",IF(L112="Entregue",IF(K112="","",MAX(0,K112-J112)),MAX(0,TODAY()-J112)))</x:f>
        <x:v>0</x:v>
      </x:c>
      <x:c r="Q112" s="12" t="str">
        <x:f t="shared" ca="1" si="15">IF(L112="Cancelado","Cancelado",IF(L112="Entregue",IF(P112&gt;0,"Entregue com atraso","Entregue no prazo"),IF(P112&gt;0,"Atrasado","Dentro do prazo")))</x:f>
        <x:v>Entregue no prazo</x:v>
      </x:c>
      <x:c r="R112" s="37" t="n">
        <x:f t="shared" ca="1" si="16">IF(OR(M112="",N112=""),"",ROUND(M112+N112,2))</x:f>
        <x:v>1437.49</x:v>
      </x:c>
      <x:c r="S112" s="37" t="n">
        <x:f t="shared" si="17">IF(OR(I112="",R112=""),"",ROUND(I112-R112,2))</x:f>
        <x:v>490.34</x:v>
      </x:c>
    </x:row>
    <x:row r="113">
      <x:c r="A113" s="12" t="s">
        <x:v>280</x:v>
      </x:c>
      <x:c r="B113" s="34">
        <x:v>46124</x:v>
      </x:c>
      <x:c r="C113" s="12" t="s">
        <x:v>200</x:v>
      </x:c>
      <x:c r="D113" s="12" t="s">
        <x:v>82</x:v>
      </x:c>
      <x:c r="E113" s="12">
        <x:v>8</x:v>
      </x:c>
      <x:c r="F113" s="37">
        <x:v>729.9</x:v>
      </x:c>
      <x:c r="G113" s="38">
        <x:v>0.05</x:v>
      </x:c>
      <x:c r="H113" s="37">
        <x:v>5839.2</x:v>
      </x:c>
      <x:c r="I113" s="37">
        <x:v>5547.24</x:v>
      </x:c>
      <x:c r="J113" s="34">
        <x:v>46131</x:v>
      </x:c>
      <x:c r="K113" s="34">
        <x:v>46138</x:v>
      </x:c>
      <x:c r="L113" s="12" t="s">
        <x:v>28</x:v>
      </x:c>
      <x:c r="M113" s="37">
        <x:v>3664.71</x:v>
      </x:c>
      <x:c r="N113" s="37">
        <x:v>105</x:v>
      </x:c>
      <x:c r="O113" s="36" t="n">
        <x:f t="shared" si="13">IF(OR(B113="",J113=""),"",J113-B113)</x:f>
        <x:v>7</x:v>
      </x:c>
      <x:c r="P113" s="36" t="n">
        <x:f t="shared" ca="1" si="14">IF(L113="Cancelado","",IF(L113="Entregue",IF(K113="","",MAX(0,K113-J113)),MAX(0,TODAY()-J113)))</x:f>
        <x:v>7</x:v>
      </x:c>
      <x:c r="Q113" s="12" t="str">
        <x:f t="shared" ca="1" si="15">IF(L113="Cancelado","Cancelado",IF(L113="Entregue",IF(P113&gt;0,"Entregue com atraso","Entregue no prazo"),IF(P113&gt;0,"Atrasado","Dentro do prazo")))</x:f>
        <x:v>Entregue com atraso</x:v>
      </x:c>
      <x:c r="R113" s="37" t="n">
        <x:f t="shared" ca="1" si="16">IF(OR(M113="",N113=""),"",ROUND(M113+N113,2))</x:f>
        <x:v>3769.71</x:v>
      </x:c>
      <x:c r="S113" s="37" t="n">
        <x:f t="shared" si="17">IF(OR(I113="",R113=""),"",ROUND(I113-R113,2))</x:f>
        <x:v>1777.53</x:v>
      </x:c>
    </x:row>
    <x:row r="114">
      <x:c r="A114" s="12" t="s">
        <x:v>281</x:v>
      </x:c>
      <x:c r="B114" s="34">
        <x:v>46029</x:v>
      </x:c>
      <x:c r="C114" s="12" t="s">
        <x:v>122</x:v>
      </x:c>
      <x:c r="D114" s="12" t="s">
        <x:v>221</x:v>
      </x:c>
      <x:c r="E114" s="12">
        <x:v>5</x:v>
      </x:c>
      <x:c r="F114" s="37">
        <x:v>499.9</x:v>
      </x:c>
      <x:c r="G114" s="38">
        <x:v>0.08</x:v>
      </x:c>
      <x:c r="H114" s="37">
        <x:v>2499.5</x:v>
      </x:c>
      <x:c r="I114" s="37">
        <x:v>2299.54</x:v>
      </x:c>
      <x:c r="J114" s="34">
        <x:v>46042</x:v>
      </x:c>
      <x:c r="K114" s="34">
        <x:v>46044</x:v>
      </x:c>
      <x:c r="L114" s="12" t="s">
        <x:v>28</x:v>
      </x:c>
      <x:c r="M114" s="37">
        <x:v>1773.49</x:v>
      </x:c>
      <x:c r="N114" s="37">
        <x:v>277.10000000000002</x:v>
      </x:c>
      <x:c r="O114" s="36" t="n">
        <x:f t="shared" si="13">IF(OR(B114="",J114=""),"",J114-B114)</x:f>
        <x:v>13</x:v>
      </x:c>
      <x:c r="P114" s="36" t="n">
        <x:f t="shared" ca="1" si="14">IF(L114="Cancelado","",IF(L114="Entregue",IF(K114="","",MAX(0,K114-J114)),MAX(0,TODAY()-J114)))</x:f>
        <x:v>2</x:v>
      </x:c>
      <x:c r="Q114" s="12" t="str">
        <x:f t="shared" ca="1" si="15">IF(L114="Cancelado","Cancelado",IF(L114="Entregue",IF(P114&gt;0,"Entregue com atraso","Entregue no prazo"),IF(P114&gt;0,"Atrasado","Dentro do prazo")))</x:f>
        <x:v>Entregue com atraso</x:v>
      </x:c>
      <x:c r="R114" s="37" t="n">
        <x:f t="shared" ca="1" si="16">IF(OR(M114="",N114=""),"",ROUND(M114+N114,2))</x:f>
        <x:v>2050.59</x:v>
      </x:c>
      <x:c r="S114" s="37" t="n">
        <x:f t="shared" si="17">IF(OR(I114="",R114=""),"",ROUND(I114-R114,2))</x:f>
        <x:v>248.95</x:v>
      </x:c>
    </x:row>
    <x:row r="115">
      <x:c r="A115" s="12" t="s">
        <x:v>282</x:v>
      </x:c>
      <x:c r="B115" s="34">
        <x:v>46103</x:v>
      </x:c>
      <x:c r="C115" s="12" t="s">
        <x:v>180</x:v>
      </x:c>
      <x:c r="D115" s="12" t="s">
        <x:v>156</x:v>
      </x:c>
      <x:c r="E115" s="12">
        <x:v>5</x:v>
      </x:c>
      <x:c r="F115" s="37">
        <x:v>849.9</x:v>
      </x:c>
      <x:c r="G115" s="38">
        <x:v>0.03</x:v>
      </x:c>
      <x:c r="H115" s="37">
        <x:v>4249.5</x:v>
      </x:c>
      <x:c r="I115" s="37">
        <x:v>4122.0200000000004</x:v>
      </x:c>
      <x:c r="J115" s="34">
        <x:v>46112</x:v>
      </x:c>
      <x:c r="K115" s="34">
        <x:v>46113</x:v>
      </x:c>
      <x:c r="L115" s="12" t="s">
        <x:v>28</x:v>
      </x:c>
      <x:c r="M115" s="37">
        <x:v>3118.45</x:v>
      </x:c>
      <x:c r="N115" s="37">
        <x:v>70.06</x:v>
      </x:c>
      <x:c r="O115" s="36" t="n">
        <x:f t="shared" si="13">IF(OR(B115="",J115=""),"",J115-B115)</x:f>
        <x:v>9</x:v>
      </x:c>
      <x:c r="P115" s="36" t="n">
        <x:f t="shared" ca="1" si="14">IF(L115="Cancelado","",IF(L115="Entregue",IF(K115="","",MAX(0,K115-J115)),MAX(0,TODAY()-J115)))</x:f>
        <x:v>1</x:v>
      </x:c>
      <x:c r="Q115" s="12" t="str">
        <x:f t="shared" ca="1" si="15">IF(L115="Cancelado","Cancelado",IF(L115="Entregue",IF(P115&gt;0,"Entregue com atraso","Entregue no prazo"),IF(P115&gt;0,"Atrasado","Dentro do prazo")))</x:f>
        <x:v>Entregue com atraso</x:v>
      </x:c>
      <x:c r="R115" s="37" t="n">
        <x:f t="shared" ca="1" si="16">IF(OR(M115="",N115=""),"",ROUND(M115+N115,2))</x:f>
        <x:v>3188.51</x:v>
      </x:c>
      <x:c r="S115" s="37" t="n">
        <x:f t="shared" si="17">IF(OR(I115="",R115=""),"",ROUND(I115-R115,2))</x:f>
        <x:v>933.51</x:v>
      </x:c>
    </x:row>
    <x:row r="116">
      <x:c r="A116" s="12" t="s">
        <x:v>283</x:v>
      </x:c>
      <x:c r="B116" s="34">
        <x:v>46124</x:v>
      </x:c>
      <x:c r="C116" s="12" t="s">
        <x:v>177</x:v>
      </x:c>
      <x:c r="D116" s="12" t="s">
        <x:v>196</x:v>
      </x:c>
      <x:c r="E116" s="12">
        <x:v>5</x:v>
      </x:c>
      <x:c r="F116" s="37">
        <x:v>1199.9000000000001</x:v>
      </x:c>
      <x:c r="G116" s="38">
        <x:v>0.08</x:v>
      </x:c>
      <x:c r="H116" s="37">
        <x:v>5999.5</x:v>
      </x:c>
      <x:c r="I116" s="37">
        <x:v>5519.54</x:v>
      </x:c>
      <x:c r="J116" s="34">
        <x:v>46133</x:v>
      </x:c>
      <x:c r="K116" s="34">
        <x:v>46140</x:v>
      </x:c>
      <x:c r="L116" s="12" t="s">
        <x:v>28</x:v>
      </x:c>
      <x:c r="M116" s="37">
        <x:v>3771.66</x:v>
      </x:c>
      <x:c r="N116" s="37">
        <x:v>46.9</x:v>
      </x:c>
      <x:c r="O116" s="36" t="n">
        <x:f t="shared" si="13">IF(OR(B116="",J116=""),"",J116-B116)</x:f>
        <x:v>9</x:v>
      </x:c>
      <x:c r="P116" s="36" t="n">
        <x:f t="shared" ca="1" si="14">IF(L116="Cancelado","",IF(L116="Entregue",IF(K116="","",MAX(0,K116-J116)),MAX(0,TODAY()-J116)))</x:f>
        <x:v>7</x:v>
      </x:c>
      <x:c r="Q116" s="12" t="str">
        <x:f t="shared" ca="1" si="15">IF(L116="Cancelado","Cancelado",IF(L116="Entregue",IF(P116&gt;0,"Entregue com atraso","Entregue no prazo"),IF(P116&gt;0,"Atrasado","Dentro do prazo")))</x:f>
        <x:v>Entregue com atraso</x:v>
      </x:c>
      <x:c r="R116" s="37" t="n">
        <x:f t="shared" ca="1" si="16">IF(OR(M116="",N116=""),"",ROUND(M116+N116,2))</x:f>
        <x:v>3818.56</x:v>
      </x:c>
      <x:c r="S116" s="37" t="n">
        <x:f t="shared" si="17">IF(OR(I116="",R116=""),"",ROUND(I116-R116,2))</x:f>
        <x:v>1700.98</x:v>
      </x:c>
    </x:row>
    <x:row r="117">
      <x:c r="A117" s="12" t="s">
        <x:v>284</x:v>
      </x:c>
      <x:c r="B117" s="34">
        <x:v>46248</x:v>
      </x:c>
      <x:c r="C117" s="12" t="s">
        <x:v>206</x:v>
      </x:c>
      <x:c r="D117" s="12" t="s">
        <x:v>98</x:v>
      </x:c>
      <x:c r="E117" s="12">
        <x:v>8</x:v>
      </x:c>
      <x:c r="F117" s="37">
        <x:v>749.9</x:v>
      </x:c>
      <x:c r="G117" s="38">
        <x:v>0</x:v>
      </x:c>
      <x:c r="H117" s="37">
        <x:v>5999.2</x:v>
      </x:c>
      <x:c r="I117" s="37">
        <x:v>5999.2</x:v>
      </x:c>
      <x:c r="J117" s="34">
        <x:v>46256</x:v>
      </x:c>
      <x:c r="K117" s="34">
        <x:v>46256</x:v>
      </x:c>
      <x:c r="L117" s="12" t="s">
        <x:v>28</x:v>
      </x:c>
      <x:c r="M117" s="37">
        <x:v>3929.72</x:v>
      </x:c>
      <x:c r="N117" s="37">
        <x:v>89.68</x:v>
      </x:c>
      <x:c r="O117" s="36" t="n">
        <x:f t="shared" si="13">IF(OR(B117="",J117=""),"",J117-B117)</x:f>
        <x:v>8</x:v>
      </x:c>
      <x:c r="P117" s="36" t="n">
        <x:f t="shared" ca="1" si="14">IF(L117="Cancelado","",IF(L117="Entregue",IF(K117="","",MAX(0,K117-J117)),MAX(0,TODAY()-J117)))</x:f>
        <x:v>0</x:v>
      </x:c>
      <x:c r="Q117" s="12" t="str">
        <x:f t="shared" ca="1" si="15">IF(L117="Cancelado","Cancelado",IF(L117="Entregue",IF(P117&gt;0,"Entregue com atraso","Entregue no prazo"),IF(P117&gt;0,"Atrasado","Dentro do prazo")))</x:f>
        <x:v>Entregue no prazo</x:v>
      </x:c>
      <x:c r="R117" s="37" t="n">
        <x:f t="shared" ca="1" si="16">IF(OR(M117="",N117=""),"",ROUND(M117+N117,2))</x:f>
        <x:v>4019.4</x:v>
      </x:c>
      <x:c r="S117" s="37" t="n">
        <x:f t="shared" si="17">IF(OR(I117="",R117=""),"",ROUND(I117-R117,2))</x:f>
        <x:v>1979.8</x:v>
      </x:c>
    </x:row>
    <x:row r="118">
      <x:c r="A118" s="12" t="s">
        <x:v>285</x:v>
      </x:c>
      <x:c r="B118" s="34">
        <x:v>46091</x:v>
      </x:c>
      <x:c r="C118" s="12" t="s">
        <x:v>206</x:v>
      </x:c>
      <x:c r="D118" s="12" t="s">
        <x:v>131</x:v>
      </x:c>
      <x:c r="E118" s="12">
        <x:v>2</x:v>
      </x:c>
      <x:c r="F118" s="37">
        <x:v>899.9</x:v>
      </x:c>
      <x:c r="G118" s="38">
        <x:v>0.08</x:v>
      </x:c>
      <x:c r="H118" s="37">
        <x:v>1799.8</x:v>
      </x:c>
      <x:c r="I118" s="37">
        <x:v>1655.82</x:v>
      </x:c>
      <x:c r="J118" s="34">
        <x:v>46106</x:v>
      </x:c>
      <x:c r="K118" s="34">
        <x:v>46108</x:v>
      </x:c>
      <x:c r="L118" s="12" t="s">
        <x:v>28</x:v>
      </x:c>
      <x:c r="M118" s="37">
        <x:v>1035.45</x:v>
      </x:c>
      <x:c r="N118" s="37">
        <x:v>130.74</x:v>
      </x:c>
      <x:c r="O118" s="36" t="n">
        <x:f t="shared" si="13">IF(OR(B118="",J118=""),"",J118-B118)</x:f>
        <x:v>15</x:v>
      </x:c>
      <x:c r="P118" s="36" t="n">
        <x:f t="shared" ca="1" si="14">IF(L118="Cancelado","",IF(L118="Entregue",IF(K118="","",MAX(0,K118-J118)),MAX(0,TODAY()-J118)))</x:f>
        <x:v>2</x:v>
      </x:c>
      <x:c r="Q118" s="12" t="str">
        <x:f t="shared" ca="1" si="15">IF(L118="Cancelado","Cancelado",IF(L118="Entregue",IF(P118&gt;0,"Entregue com atraso","Entregue no prazo"),IF(P118&gt;0,"Atrasado","Dentro do prazo")))</x:f>
        <x:v>Entregue com atraso</x:v>
      </x:c>
      <x:c r="R118" s="37" t="n">
        <x:f t="shared" ca="1" si="16">IF(OR(M118="",N118=""),"",ROUND(M118+N118,2))</x:f>
        <x:v>1166.19</x:v>
      </x:c>
      <x:c r="S118" s="37" t="n">
        <x:f t="shared" si="17">IF(OR(I118="",R118=""),"",ROUND(I118-R118,2))</x:f>
        <x:v>489.63</x:v>
      </x:c>
    </x:row>
    <x:row r="119">
      <x:c r="A119" s="12" t="s">
        <x:v>286</x:v>
      </x:c>
      <x:c r="B119" s="34">
        <x:v>46060</x:v>
      </x:c>
      <x:c r="C119" s="12" t="s">
        <x:v>69</x:v>
      </x:c>
      <x:c r="D119" s="12" t="s">
        <x:v>182</x:v>
      </x:c>
      <x:c r="E119" s="12">
        <x:v>6</x:v>
      </x:c>
      <x:c r="F119" s="37">
        <x:v>1099.9000000000001</x:v>
      </x:c>
      <x:c r="G119" s="38">
        <x:v>0.08</x:v>
      </x:c>
      <x:c r="H119" s="37">
        <x:v>6599.4</x:v>
      </x:c>
      <x:c r="I119" s="37">
        <x:v>6071.45</x:v>
      </x:c>
      <x:c r="J119" s="34">
        <x:v>46071</x:v>
      </x:c>
      <x:c r="K119" s="34">
        <x:v>46070</x:v>
      </x:c>
      <x:c r="L119" s="12" t="s">
        <x:v>28</x:v>
      </x:c>
      <x:c r="M119" s="37">
        <x:v>4528.34</x:v>
      </x:c>
      <x:c r="N119" s="37">
        <x:v>250.97</x:v>
      </x:c>
      <x:c r="O119" s="36" t="n">
        <x:f t="shared" si="13">IF(OR(B119="",J119=""),"",J119-B119)</x:f>
        <x:v>11</x:v>
      </x:c>
      <x:c r="P119" s="36" t="n">
        <x:f t="shared" ca="1" si="14">IF(L119="Cancelado","",IF(L119="Entregue",IF(K119="","",MAX(0,K119-J119)),MAX(0,TODAY()-J119)))</x:f>
        <x:v>0</x:v>
      </x:c>
      <x:c r="Q119" s="12" t="str">
        <x:f t="shared" ca="1" si="15">IF(L119="Cancelado","Cancelado",IF(L119="Entregue",IF(P119&gt;0,"Entregue com atraso","Entregue no prazo"),IF(P119&gt;0,"Atrasado","Dentro do prazo")))</x:f>
        <x:v>Entregue no prazo</x:v>
      </x:c>
      <x:c r="R119" s="37" t="n">
        <x:f t="shared" ca="1" si="16">IF(OR(M119="",N119=""),"",ROUND(M119+N119,2))</x:f>
        <x:v>4779.31</x:v>
      </x:c>
      <x:c r="S119" s="37" t="n">
        <x:f t="shared" si="17">IF(OR(I119="",R119=""),"",ROUND(I119-R119,2))</x:f>
        <x:v>1292.14</x:v>
      </x:c>
    </x:row>
    <x:row r="120">
      <x:c r="A120" s="12" t="s">
        <x:v>287</x:v>
      </x:c>
      <x:c r="B120" s="34">
        <x:v>46120</x:v>
      </x:c>
      <x:c r="C120" s="12" t="s">
        <x:v>57</x:v>
      </x:c>
      <x:c r="D120" s="12" t="s">
        <x:v>173</x:v>
      </x:c>
      <x:c r="E120" s="12">
        <x:v>5</x:v>
      </x:c>
      <x:c r="F120" s="37">
        <x:v>289.89999999999998</x:v>
      </x:c>
      <x:c r="G120" s="38">
        <x:v>0</x:v>
      </x:c>
      <x:c r="H120" s="37">
        <x:v>1449.5</x:v>
      </x:c>
      <x:c r="I120" s="37">
        <x:v>1449.5</x:v>
      </x:c>
      <x:c r="J120" s="34">
        <x:v>46129</x:v>
      </x:c>
      <x:c r="K120" s="34"/>
      <x:c r="L120" s="12" t="s">
        <x:v>27</x:v>
      </x:c>
      <x:c r="M120" s="37">
        <x:v>1117.67</x:v>
      </x:c>
      <x:c r="N120" s="37">
        <x:v>272.33999999999997</x:v>
      </x:c>
      <x:c r="O120" s="36" t="n">
        <x:f t="shared" si="13">IF(OR(B120="",J120=""),"",J120-B120)</x:f>
        <x:v>9</x:v>
      </x:c>
      <x:c r="P120" s="36" t="n">
        <x:f t="shared" ca="1" si="14">IF(L120="Cancelado","",IF(L120="Entregue",IF(K120="","",MAX(0,K120-J120)),MAX(0,TODAY()-J120)))</x:f>
        <x:v>151</x:v>
      </x:c>
      <x:c r="Q120" s="12" t="str">
        <x:f t="shared" ca="1" si="15">IF(L120="Cancelado","Cancelado",IF(L120="Entregue",IF(P120&gt;0,"Entregue com atraso","Entregue no prazo"),IF(P120&gt;0,"Atrasado","Dentro do prazo")))</x:f>
        <x:v>Atrasado</x:v>
      </x:c>
      <x:c r="R120" s="37" t="n">
        <x:f t="shared" ca="1" si="16">IF(OR(M120="",N120=""),"",ROUND(M120+N120,2))</x:f>
        <x:v>1390.01</x:v>
      </x:c>
      <x:c r="S120" s="37" t="n">
        <x:f t="shared" si="17">IF(OR(I120="",R120=""),"",ROUND(I120-R120,2))</x:f>
        <x:v>59.49</x:v>
      </x:c>
    </x:row>
    <x:row r="121">
      <x:c r="A121" s="12" t="s">
        <x:v>288</x:v>
      </x:c>
      <x:c r="B121" s="34">
        <x:v>46102</x:v>
      </x:c>
      <x:c r="C121" s="12" t="s">
        <x:v>107</x:v>
      </x:c>
      <x:c r="D121" s="12" t="s">
        <x:v>104</x:v>
      </x:c>
      <x:c r="E121" s="12">
        <x:v>2</x:v>
      </x:c>
      <x:c r="F121" s="37">
        <x:v>699.9</x:v>
      </x:c>
      <x:c r="G121" s="38">
        <x:v>0.03</x:v>
      </x:c>
      <x:c r="H121" s="37">
        <x:v>1399.8</x:v>
      </x:c>
      <x:c r="I121" s="37">
        <x:v>1357.81</x:v>
      </x:c>
      <x:c r="J121" s="34">
        <x:v>46108</x:v>
      </x:c>
      <x:c r="K121" s="34">
        <x:v>46108</x:v>
      </x:c>
      <x:c r="L121" s="12" t="s">
        <x:v>28</x:v>
      </x:c>
      <x:c r="M121" s="37">
        <x:v>1028.71</x:v>
      </x:c>
      <x:c r="N121" s="37">
        <x:v>215.19</x:v>
      </x:c>
      <x:c r="O121" s="36" t="n">
        <x:f t="shared" si="13">IF(OR(B121="",J121=""),"",J121-B121)</x:f>
        <x:v>6</x:v>
      </x:c>
      <x:c r="P121" s="36" t="n">
        <x:f t="shared" ca="1" si="14">IF(L121="Cancelado","",IF(L121="Entregue",IF(K121="","",MAX(0,K121-J121)),MAX(0,TODAY()-J121)))</x:f>
        <x:v>0</x:v>
      </x:c>
      <x:c r="Q121" s="12" t="str">
        <x:f t="shared" ca="1" si="15">IF(L121="Cancelado","Cancelado",IF(L121="Entregue",IF(P121&gt;0,"Entregue com atraso","Entregue no prazo"),IF(P121&gt;0,"Atrasado","Dentro do prazo")))</x:f>
        <x:v>Entregue no prazo</x:v>
      </x:c>
      <x:c r="R121" s="37" t="n">
        <x:f t="shared" ca="1" si="16">IF(OR(M121="",N121=""),"",ROUND(M121+N121,2))</x:f>
        <x:v>1243.9</x:v>
      </x:c>
      <x:c r="S121" s="37" t="n">
        <x:f t="shared" si="17">IF(OR(I121="",R121=""),"",ROUND(I121-R121,2))</x:f>
        <x:v>113.91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FFFF00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3" customWidth="1"/>
    <x:col min="2" max="2" width="32" customWidth="1"/>
    <x:col min="3" max="3" width="18" customWidth="1"/>
    <x:col min="4" max="4" width="15" customWidth="1"/>
    <x:col min="5" max="5" width="16" customWidth="1"/>
    <x:col min="6" max="6" width="20" customWidth="1"/>
  </x:cols>
  <x:sheetData>
    <x:row r="1">
      <x:c r="A1" s="10" t="s">
        <x:v>41</x:v>
      </x:c>
      <x:c r="B1" s="10" t="s">
        <x:v>42</x:v>
      </x:c>
      <x:c r="C1" s="10" t="s">
        <x:v>24</x:v>
      </x:c>
      <x:c r="D1" s="10" t="s">
        <x:v>304</x:v>
      </x:c>
      <x:c r="E1" s="10" t="s">
        <x:v>300</x:v>
      </x:c>
      <x:c r="F1" s="10" t="s">
        <x:v>305</x:v>
      </x:c>
    </x:row>
    <x:row r="2">
      <x:c r="A2" s="12" t="s">
        <x:v>66</x:v>
      </x:c>
      <x:c r="B2" s="12" t="s">
        <x:v>67</x:v>
      </x:c>
      <x:c r="C2" s="12" t="s">
        <x:v>62</x:v>
      </x:c>
      <x:c r="D2" s="12">
        <x:v>50</x:v>
      </x:c>
      <x:c r="E2" s="12">
        <x:v>28</x:v>
      </x:c>
      <x:c r="F2" s="12" t="str">
        <x:f t="shared" ref="F2:F21" si="0">IF(D2&lt;=E2,"Abaixo do mínimo","Estoque adequado")</x:f>
        <x:v>Estoque adequado</x:v>
      </x:c>
    </x:row>
    <x:row r="3">
      <x:c r="A3" s="12" t="s">
        <x:v>98</x:v>
      </x:c>
      <x:c r="B3" s="12" t="s">
        <x:v>99</x:v>
      </x:c>
      <x:c r="C3" s="12" t="s">
        <x:v>62</x:v>
      </x:c>
      <x:c r="D3" s="12">
        <x:v>19</x:v>
      </x:c>
      <x:c r="E3" s="12">
        <x:v>14</x:v>
      </x:c>
      <x:c r="F3" s="12" t="str">
        <x:f t="shared" si="0"/>
        <x:v>Estoque adequado</x:v>
      </x:c>
    </x:row>
    <x:row r="4">
      <x:c r="A4" s="12" t="s">
        <x:v>151</x:v>
      </x:c>
      <x:c r="B4" s="12" t="s">
        <x:v>152</x:v>
      </x:c>
      <x:c r="C4" s="12" t="s">
        <x:v>62</x:v>
      </x:c>
      <x:c r="D4" s="12">
        <x:v>12</x:v>
      </x:c>
      <x:c r="E4" s="12">
        <x:v>10</x:v>
      </x:c>
      <x:c r="F4" s="12" t="str">
        <x:f t="shared" si="0"/>
        <x:v>Estoque adequado</x:v>
      </x:c>
    </x:row>
    <x:row r="5">
      <x:c r="A5" s="12" t="s">
        <x:v>159</x:v>
      </x:c>
      <x:c r="B5" s="12" t="s">
        <x:v>160</x:v>
      </x:c>
      <x:c r="C5" s="12" t="s">
        <x:v>62</x:v>
      </x:c>
      <x:c r="D5" s="12">
        <x:v>47</x:v>
      </x:c>
      <x:c r="E5" s="12">
        <x:v>22</x:v>
      </x:c>
      <x:c r="F5" s="12" t="str">
        <x:f t="shared" si="0"/>
        <x:v>Estoque adequado</x:v>
      </x:c>
    </x:row>
    <x:row r="6">
      <x:c r="A6" s="12" t="s">
        <x:v>131</x:v>
      </x:c>
      <x:c r="B6" s="12" t="s">
        <x:v>132</x:v>
      </x:c>
      <x:c r="C6" s="12" t="s">
        <x:v>90</x:v>
      </x:c>
      <x:c r="D6" s="12">
        <x:v>22</x:v>
      </x:c>
      <x:c r="E6" s="12">
        <x:v>12</x:v>
      </x:c>
      <x:c r="F6" s="12" t="str">
        <x:f t="shared" si="0"/>
        <x:v>Estoque adequado</x:v>
      </x:c>
    </x:row>
    <x:row r="7">
      <x:c r="A7" s="12" t="s">
        <x:v>88</x:v>
      </x:c>
      <x:c r="B7" s="12" t="s">
        <x:v>89</x:v>
      </x:c>
      <x:c r="C7" s="12" t="s">
        <x:v>90</x:v>
      </x:c>
      <x:c r="D7" s="12">
        <x:v>26</x:v>
      </x:c>
      <x:c r="E7" s="12">
        <x:v>17</x:v>
      </x:c>
      <x:c r="F7" s="12" t="str">
        <x:f t="shared" si="0"/>
        <x:v>Estoque adequado</x:v>
      </x:c>
    </x:row>
    <x:row r="8">
      <x:c r="A8" s="12" t="s">
        <x:v>147</x:v>
      </x:c>
      <x:c r="B8" s="12" t="s">
        <x:v>148</x:v>
      </x:c>
      <x:c r="C8" s="12" t="s">
        <x:v>149</x:v>
      </x:c>
      <x:c r="D8" s="12">
        <x:v>34</x:v>
      </x:c>
      <x:c r="E8" s="12">
        <x:v>25</x:v>
      </x:c>
      <x:c r="F8" s="12" t="str">
        <x:f t="shared" si="0"/>
        <x:v>Estoque adequado</x:v>
      </x:c>
    </x:row>
    <x:row r="9">
      <x:c r="A9" s="12" t="s">
        <x:v>82</x:v>
      </x:c>
      <x:c r="B9" s="12" t="s">
        <x:v>83</x:v>
      </x:c>
      <x:c r="C9" s="12" t="s">
        <x:v>84</x:v>
      </x:c>
      <x:c r="D9" s="12">
        <x:v>17</x:v>
      </x:c>
      <x:c r="E9" s="12">
        <x:v>11</x:v>
      </x:c>
      <x:c r="F9" s="12" t="str">
        <x:f t="shared" si="0"/>
        <x:v>Estoque adequado</x:v>
      </x:c>
    </x:row>
    <x:row r="10">
      <x:c r="A10" s="12" t="s">
        <x:v>124</x:v>
      </x:c>
      <x:c r="B10" s="12" t="s">
        <x:v>125</x:v>
      </x:c>
      <x:c r="C10" s="12" t="s">
        <x:v>126</x:v>
      </x:c>
      <x:c r="D10" s="12">
        <x:v>41</x:v>
      </x:c>
      <x:c r="E10" s="12">
        <x:v>16</x:v>
      </x:c>
      <x:c r="F10" s="12" t="str">
        <x:f t="shared" si="0"/>
        <x:v>Estoque adequado</x:v>
      </x:c>
    </x:row>
    <x:row r="11">
      <x:c r="A11" s="12" t="s">
        <x:v>182</x:v>
      </x:c>
      <x:c r="B11" s="12" t="s">
        <x:v>183</x:v>
      </x:c>
      <x:c r="C11" s="12" t="s">
        <x:v>184</x:v>
      </x:c>
      <x:c r="D11" s="12">
        <x:v>13</x:v>
      </x:c>
      <x:c r="E11" s="12">
        <x:v>8</x:v>
      </x:c>
      <x:c r="F11" s="12" t="str">
        <x:f t="shared" si="0"/>
        <x:v>Estoque adequado</x:v>
      </x:c>
    </x:row>
    <x:row r="12">
      <x:c r="A12" s="12" t="s">
        <x:v>104</x:v>
      </x:c>
      <x:c r="B12" s="12" t="s">
        <x:v>105</x:v>
      </x:c>
      <x:c r="C12" s="12" t="s">
        <x:v>74</x:v>
      </x:c>
      <x:c r="D12" s="12">
        <x:v>55</x:v>
      </x:c>
      <x:c r="E12" s="12">
        <x:v>32</x:v>
      </x:c>
      <x:c r="F12" s="12" t="str">
        <x:f t="shared" si="0"/>
        <x:v>Estoque adequado</x:v>
      </x:c>
    </x:row>
    <x:row r="13">
      <x:c r="A13" s="12" t="s">
        <x:v>196</x:v>
      </x:c>
      <x:c r="B13" s="12" t="s">
        <x:v>197</x:v>
      </x:c>
      <x:c r="C13" s="12" t="s">
        <x:v>74</x:v>
      </x:c>
      <x:c r="D13" s="12">
        <x:v>40</x:v>
      </x:c>
      <x:c r="E13" s="12">
        <x:v>15</x:v>
      </x:c>
      <x:c r="F13" s="12" t="str">
        <x:f t="shared" si="0"/>
        <x:v>Estoque adequado</x:v>
      </x:c>
    </x:row>
    <x:row r="14">
      <x:c r="A14" s="12" t="s">
        <x:v>72</x:v>
      </x:c>
      <x:c r="B14" s="12" t="s">
        <x:v>73</x:v>
      </x:c>
      <x:c r="C14" s="12" t="s">
        <x:v>74</x:v>
      </x:c>
      <x:c r="D14" s="12">
        <x:v>28</x:v>
      </x:c>
      <x:c r="E14" s="12">
        <x:v>9</x:v>
      </x:c>
      <x:c r="F14" s="12" t="str">
        <x:f t="shared" si="0"/>
        <x:v>Estoque adequado</x:v>
      </x:c>
    </x:row>
    <x:row r="15">
      <x:c r="A15" s="12" t="s">
        <x:v>156</x:v>
      </x:c>
      <x:c r="B15" s="12" t="s">
        <x:v>157</x:v>
      </x:c>
      <x:c r="C15" s="12" t="s">
        <x:v>74</x:v>
      </x:c>
      <x:c r="D15" s="12">
        <x:v>17</x:v>
      </x:c>
      <x:c r="E15" s="12">
        <x:v>13</x:v>
      </x:c>
      <x:c r="F15" s="12" t="str">
        <x:f t="shared" si="0"/>
        <x:v>Estoque adequado</x:v>
      </x:c>
    </x:row>
    <x:row r="16">
      <x:c r="A16" s="12" t="s">
        <x:v>221</x:v>
      </x:c>
      <x:c r="B16" s="12" t="s">
        <x:v>222</x:v>
      </x:c>
      <x:c r="C16" s="12" t="s">
        <x:v>113</x:v>
      </x:c>
      <x:c r="D16" s="12">
        <x:v>40</x:v>
      </x:c>
      <x:c r="E16" s="12">
        <x:v>20</x:v>
      </x:c>
      <x:c r="F16" s="12" t="str">
        <x:f t="shared" si="0"/>
        <x:v>Estoque adequado</x:v>
      </x:c>
    </x:row>
    <x:row r="17">
      <x:c r="A17" s="12" t="s">
        <x:v>111</x:v>
      </x:c>
      <x:c r="B17" s="12" t="s">
        <x:v>112</x:v>
      </x:c>
      <x:c r="C17" s="12" t="s">
        <x:v>113</x:v>
      </x:c>
      <x:c r="D17" s="12">
        <x:v>30</x:v>
      </x:c>
      <x:c r="E17" s="12">
        <x:v>15</x:v>
      </x:c>
      <x:c r="F17" s="12" t="str">
        <x:f t="shared" si="0"/>
        <x:v>Estoque adequado</x:v>
      </x:c>
    </x:row>
    <x:row r="18">
      <x:c r="A18" s="12" t="s">
        <x:v>173</x:v>
      </x:c>
      <x:c r="B18" s="12" t="s">
        <x:v>174</x:v>
      </x:c>
      <x:c r="C18" s="12" t="s">
        <x:v>149</x:v>
      </x:c>
      <x:c r="D18" s="12">
        <x:v>29</x:v>
      </x:c>
      <x:c r="E18" s="12">
        <x:v>26</x:v>
      </x:c>
      <x:c r="F18" s="12" t="str">
        <x:f t="shared" si="0"/>
        <x:v>Estoque adequado</x:v>
      </x:c>
    </x:row>
    <x:row r="19">
      <x:c r="A19" s="12" t="s">
        <x:v>76</x:v>
      </x:c>
      <x:c r="B19" s="12" t="s">
        <x:v>77</x:v>
      </x:c>
      <x:c r="C19" s="12" t="s">
        <x:v>62</x:v>
      </x:c>
      <x:c r="D19" s="12">
        <x:v>14</x:v>
      </x:c>
      <x:c r="E19" s="12">
        <x:v>12</x:v>
      </x:c>
      <x:c r="F19" s="12" t="str">
        <x:f t="shared" si="0"/>
        <x:v>Estoque adequado</x:v>
      </x:c>
    </x:row>
    <x:row r="20">
      <x:c r="A20" s="12" t="s">
        <x:v>139</x:v>
      </x:c>
      <x:c r="B20" s="12" t="s">
        <x:v>140</x:v>
      </x:c>
      <x:c r="C20" s="12" t="s">
        <x:v>90</x:v>
      </x:c>
      <x:c r="D20" s="12">
        <x:v>11</x:v>
      </x:c>
      <x:c r="E20" s="12">
        <x:v>7</x:v>
      </x:c>
      <x:c r="F20" s="12" t="str">
        <x:f t="shared" si="0"/>
        <x:v>Estoque adequado</x:v>
      </x:c>
    </x:row>
    <x:row r="21">
      <x:c r="A21" s="12" t="s">
        <x:v>60</x:v>
      </x:c>
      <x:c r="B21" s="12" t="s">
        <x:v>61</x:v>
      </x:c>
      <x:c r="C21" s="12" t="s">
        <x:v>62</x:v>
      </x:c>
      <x:c r="D21" s="12">
        <x:v>18</x:v>
      </x:c>
      <x:c r="E21" s="12">
        <x:v>10</x:v>
      </x:c>
      <x:c r="F21" s="12" t="str">
        <x:f t="shared" si="0"/>
        <x:v>Estoque adequado</x:v>
      </x:c>
    </x:row>
  </x:sheetData>
  <x:pageMargins left="0.7" right="0.7" top="0.75" bottom="0.75" header="0.3" footer="0.3"/>
  <x:tableParts count="1">
    <x:tablePart xmlns:r="http://schemas.openxmlformats.org/officeDocument/2006/relationships" r:id="Re5a93320c60948e3"/>
  </x:tableParts>
</x:worksheet>
</file>